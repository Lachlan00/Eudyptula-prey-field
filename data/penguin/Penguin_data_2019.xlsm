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achlanphillips/Dropbox/PhD/Data/Penguin_data/Oct-2019/"/>
    </mc:Choice>
  </mc:AlternateContent>
  <xr:revisionPtr revIDLastSave="0" documentId="13_ncr:1_{B99DAAC7-6396-0B4E-9852-0021A63D44E0}" xr6:coauthVersionLast="43" xr6:coauthVersionMax="43" xr10:uidLastSave="{00000000-0000-0000-0000-000000000000}"/>
  <bookViews>
    <workbookView xWindow="0" yWindow="460" windowWidth="33600" windowHeight="20540" tabRatio="500" xr2:uid="{00000000-000D-0000-FFFF-FFFF00000000}"/>
  </bookViews>
  <sheets>
    <sheet name="Penguin Data" sheetId="1" r:id="rId1"/>
    <sheet name="Tags Out" sheetId="2" r:id="rId2"/>
    <sheet name="Instrument Errors" sheetId="3" r:id="rId3"/>
    <sheet name="Nicknames" sheetId="4" r:id="rId4"/>
    <sheet name="variables" sheetId="5" r:id="rId5"/>
  </sheets>
  <calcPr calcId="19102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H4" i="1" l="1"/>
  <c r="AB4" i="1" a="1"/>
  <c r="AB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1" i="1"/>
  <c r="Q32" i="1"/>
  <c r="Q33" i="1"/>
  <c r="Q34" i="1"/>
  <c r="Q35" i="1"/>
  <c r="Q36" i="1"/>
  <c r="Q37" i="1"/>
  <c r="Q38" i="1"/>
  <c r="Q39" i="1"/>
  <c r="Q40" i="1"/>
  <c r="Q41" i="1"/>
  <c r="Q42" i="1"/>
  <c r="Q4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AG4" i="1"/>
  <c r="AF4" i="1"/>
  <c r="AC4" i="1"/>
  <c r="AD4" i="1"/>
  <c r="AE4" i="1"/>
  <c r="C1" i="2"/>
</calcChain>
</file>

<file path=xl/sharedStrings.xml><?xml version="1.0" encoding="utf-8"?>
<sst xmlns="http://schemas.openxmlformats.org/spreadsheetml/2006/main" count="531" uniqueCount="171">
  <si>
    <t>Box ID</t>
  </si>
  <si>
    <t>Penguin ID</t>
  </si>
  <si>
    <t>Sex</t>
  </si>
  <si>
    <t>Penguin</t>
  </si>
  <si>
    <t>Weight before</t>
  </si>
  <si>
    <t>Weight after</t>
  </si>
  <si>
    <t>Deployment</t>
  </si>
  <si>
    <t>Deploy date</t>
  </si>
  <si>
    <t>Deploy time</t>
  </si>
  <si>
    <t>Removal date</t>
  </si>
  <si>
    <t>Removal time</t>
  </si>
  <si>
    <t>Chick no.</t>
  </si>
  <si>
    <t>Samples</t>
  </si>
  <si>
    <t>Deployment no.</t>
  </si>
  <si>
    <t>Deployment code</t>
  </si>
  <si>
    <t>Weight Raw (g)</t>
  </si>
  <si>
    <t>Weight corrected (g)</t>
  </si>
  <si>
    <t>Removal</t>
  </si>
  <si>
    <t>Notes</t>
  </si>
  <si>
    <t>Deployment Notes</t>
  </si>
  <si>
    <t>Removal Notes</t>
  </si>
  <si>
    <t>Survey Notes</t>
  </si>
  <si>
    <t>Other Notes</t>
  </si>
  <si>
    <t>Tags Out</t>
  </si>
  <si>
    <t>Box_ID</t>
  </si>
  <si>
    <t>Reason for failure</t>
  </si>
  <si>
    <t>Axy</t>
  </si>
  <si>
    <t>Axy logger no.</t>
  </si>
  <si>
    <t>microchip</t>
  </si>
  <si>
    <t>Deployment details</t>
  </si>
  <si>
    <t>no. Individuals</t>
  </si>
  <si>
    <t>.</t>
  </si>
  <si>
    <t>no. tracks</t>
  </si>
  <si>
    <t>Total Stats</t>
  </si>
  <si>
    <t>male dplys</t>
  </si>
  <si>
    <t>female dplys</t>
  </si>
  <si>
    <t>none</t>
  </si>
  <si>
    <t>f</t>
  </si>
  <si>
    <t>m</t>
  </si>
  <si>
    <t>Gone to sea?</t>
  </si>
  <si>
    <t>y</t>
  </si>
  <si>
    <t>n</t>
  </si>
  <si>
    <t>downloaded</t>
  </si>
  <si>
    <t>Camera no.</t>
  </si>
  <si>
    <t>Camera</t>
  </si>
  <si>
    <t>Date tagged</t>
  </si>
  <si>
    <t>Chicks</t>
  </si>
  <si>
    <t>40</t>
  </si>
  <si>
    <t>Retrived</t>
  </si>
  <si>
    <t>Track obtained</t>
  </si>
  <si>
    <t>feathers</t>
  </si>
  <si>
    <t>Cameras</t>
  </si>
  <si>
    <t>Unit</t>
  </si>
  <si>
    <t>Operateable</t>
  </si>
  <si>
    <t>Issue</t>
  </si>
  <si>
    <t>TESTS</t>
  </si>
  <si>
    <t>VB4</t>
  </si>
  <si>
    <t>Video</t>
  </si>
  <si>
    <t>(fix rate 5 seconds)</t>
  </si>
  <si>
    <t>no. videos</t>
  </si>
  <si>
    <t>Penguin tagging data sheet - Montague, Oct-2019</t>
  </si>
  <si>
    <t>037m</t>
  </si>
  <si>
    <t>037m01</t>
  </si>
  <si>
    <t>07 01</t>
  </si>
  <si>
    <t>038m</t>
  </si>
  <si>
    <t>038m01</t>
  </si>
  <si>
    <t>039m01</t>
  </si>
  <si>
    <t>10</t>
  </si>
  <si>
    <t>039m</t>
  </si>
  <si>
    <t>040f</t>
  </si>
  <si>
    <t>040f01</t>
  </si>
  <si>
    <t>037f</t>
  </si>
  <si>
    <t>037f01</t>
  </si>
  <si>
    <t>Deployment time approximate</t>
  </si>
  <si>
    <t>marked green</t>
  </si>
  <si>
    <t>logger failure</t>
  </si>
  <si>
    <t xml:space="preserve">Logger failed. When went to download data no data on logger and battery full. Had never turned on I guess. </t>
  </si>
  <si>
    <t>038f</t>
  </si>
  <si>
    <t>038f01</t>
  </si>
  <si>
    <t>040m</t>
  </si>
  <si>
    <t>040m01</t>
  </si>
  <si>
    <t>mean deployment weight (g)</t>
  </si>
  <si>
    <t>Stayed in nest for one day after dployment</t>
  </si>
  <si>
    <t>E02</t>
  </si>
  <si>
    <t>041f</t>
  </si>
  <si>
    <t>041f01</t>
  </si>
  <si>
    <t>Marked purple</t>
  </si>
  <si>
    <t>remained on land</t>
  </si>
  <si>
    <t>05 01</t>
  </si>
  <si>
    <t>042m</t>
  </si>
  <si>
    <t>042m01</t>
  </si>
  <si>
    <t>05 34</t>
  </si>
  <si>
    <t>043f</t>
  </si>
  <si>
    <t>043f01</t>
  </si>
  <si>
    <t>05 26</t>
  </si>
  <si>
    <t>044f</t>
  </si>
  <si>
    <t>044f01</t>
  </si>
  <si>
    <t>3</t>
  </si>
  <si>
    <t>045m</t>
  </si>
  <si>
    <t>045m01</t>
  </si>
  <si>
    <t>Forgot to record tag number</t>
  </si>
  <si>
    <t>07 34</t>
  </si>
  <si>
    <t>046m</t>
  </si>
  <si>
    <t>046m01</t>
  </si>
  <si>
    <t>046f</t>
  </si>
  <si>
    <t>046f01</t>
  </si>
  <si>
    <t>044m</t>
  </si>
  <si>
    <t>044m01</t>
  </si>
  <si>
    <t>042f</t>
  </si>
  <si>
    <t>042f01</t>
  </si>
  <si>
    <t>041m</t>
  </si>
  <si>
    <t>041m01</t>
  </si>
  <si>
    <t xml:space="preserve">Partner moved burrow during day. Chicks there again at night. </t>
  </si>
  <si>
    <t>Caught on rocks during penguin parade</t>
  </si>
  <si>
    <t>046m02</t>
  </si>
  <si>
    <t>NA</t>
  </si>
  <si>
    <t>x</t>
  </si>
  <si>
    <t>Ness did a perfect attachment!</t>
  </si>
  <si>
    <t>042m02</t>
  </si>
  <si>
    <t>Incorrectly took feather sample</t>
  </si>
  <si>
    <t>Exhausted on return</t>
  </si>
  <si>
    <t>mean removal weight (g)</t>
  </si>
  <si>
    <t>Axys</t>
  </si>
  <si>
    <t>Won't correctly log. Running tests.</t>
  </si>
  <si>
    <t>logger error</t>
  </si>
  <si>
    <t>Stayed on land for three days</t>
  </si>
  <si>
    <t>042m03</t>
  </si>
  <si>
    <t>045f</t>
  </si>
  <si>
    <t>045f01</t>
  </si>
  <si>
    <t>045f02</t>
  </si>
  <si>
    <t>045m02</t>
  </si>
  <si>
    <t>042f02</t>
  </si>
  <si>
    <t>DMS track</t>
  </si>
  <si>
    <t>045f03</t>
  </si>
  <si>
    <t>042m04</t>
  </si>
  <si>
    <t>045m03</t>
  </si>
  <si>
    <t>05 43</t>
  </si>
  <si>
    <t>047m</t>
  </si>
  <si>
    <t>047m01</t>
  </si>
  <si>
    <t>042m05</t>
  </si>
  <si>
    <t>N03</t>
  </si>
  <si>
    <t>048f</t>
  </si>
  <si>
    <t>048f01</t>
  </si>
  <si>
    <t>047f</t>
  </si>
  <si>
    <t>047f01</t>
  </si>
  <si>
    <t>042f03</t>
  </si>
  <si>
    <t>048m</t>
  </si>
  <si>
    <t>048m01</t>
  </si>
  <si>
    <t>047m02</t>
  </si>
  <si>
    <t>048f02</t>
  </si>
  <si>
    <t>Lach did a superb job handling Barb!</t>
  </si>
  <si>
    <t>Chick had been moved deeper into the burrow</t>
  </si>
  <si>
    <t>code</t>
  </si>
  <si>
    <t>name</t>
  </si>
  <si>
    <t>Big V</t>
  </si>
  <si>
    <t>Barb</t>
  </si>
  <si>
    <t>Barbara</t>
  </si>
  <si>
    <t>Mr. V</t>
  </si>
  <si>
    <t>No data recorded</t>
  </si>
  <si>
    <t>047m03</t>
  </si>
  <si>
    <t>170222-02</t>
  </si>
  <si>
    <t>First camera deployment</t>
  </si>
  <si>
    <t>Aggressive "Barb"</t>
  </si>
  <si>
    <t>N04</t>
  </si>
  <si>
    <t>049m</t>
  </si>
  <si>
    <t>049m01</t>
  </si>
  <si>
    <t>049f</t>
  </si>
  <si>
    <t>049f01</t>
  </si>
  <si>
    <t>170222-29</t>
  </si>
  <si>
    <t>049m02</t>
  </si>
  <si>
    <t>bag weight (g)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</si>
</sst>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2"/>
      <color theme="1"/>
      <name val="Calibri"/>
      <family val="2"/>
      <scheme val="minor"/>
    </font>
    <font>
      <sz val="8"/>
      <name val="Calibri"/>
      <family val="2"/>
    </font>
    <font>
      <sz val="12"/>
      <color theme="0"/>
      <name val="Calibri"/>
      <family val="2"/>
      <scheme val="minor"/>
    </font>
    <font>
      <sz val="12"/>
      <color rgb="FF9C0006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65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0" tint="-0.499984740745262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ourier"/>
      <family val="1"/>
    </font>
    <font>
      <sz val="12"/>
      <color theme="0" tint="-0.499984740745262"/>
      <name val="Calibri"/>
      <family val="2"/>
      <scheme val="minor"/>
    </font>
    <font>
      <b/>
      <u/>
      <sz val="14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indexed="34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883CAD"/>
        <bgColor indexed="64"/>
      </patternFill>
    </fill>
    <fill>
      <patternFill patternType="solid">
        <fgColor rgb="FFC36CF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24997711111789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3" borderId="0" applyNumberFormat="0" applyBorder="0" applyAlignment="0" applyProtection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9" fontId="11" fillId="0" borderId="0" applyFont="0" applyFill="0" applyBorder="0" applyAlignment="0" applyProtection="0"/>
  </cellStyleXfs>
  <cellXfs count="141">
    <xf numFmtId="0" fontId="0" fillId="0" borderId="0" xfId="0"/>
    <xf numFmtId="0" fontId="0" fillId="6" borderId="1" xfId="0" applyFill="1" applyBorder="1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7" borderId="3" xfId="0" applyFill="1" applyBorder="1"/>
    <xf numFmtId="0" fontId="0" fillId="8" borderId="3" xfId="0" applyFill="1" applyBorder="1"/>
    <xf numFmtId="0" fontId="0" fillId="9" borderId="4" xfId="0" applyFill="1" applyBorder="1"/>
    <xf numFmtId="0" fontId="0" fillId="0" borderId="5" xfId="0" applyBorder="1"/>
    <xf numFmtId="0" fontId="0" fillId="10" borderId="6" xfId="0" applyFill="1" applyBorder="1"/>
    <xf numFmtId="0" fontId="4" fillId="11" borderId="7" xfId="0" applyFont="1" applyFill="1" applyBorder="1"/>
    <xf numFmtId="0" fontId="4" fillId="12" borderId="8" xfId="0" applyFont="1" applyFill="1" applyBorder="1"/>
    <xf numFmtId="0" fontId="0" fillId="13" borderId="3" xfId="0" applyFill="1" applyBorder="1"/>
    <xf numFmtId="0" fontId="4" fillId="14" borderId="7" xfId="0" applyFont="1" applyFill="1" applyBorder="1"/>
    <xf numFmtId="0" fontId="0" fillId="15" borderId="6" xfId="0" applyFill="1" applyBorder="1"/>
    <xf numFmtId="0" fontId="4" fillId="16" borderId="1" xfId="0" applyFont="1" applyFill="1" applyBorder="1"/>
    <xf numFmtId="0" fontId="4" fillId="16" borderId="8" xfId="0" applyFont="1" applyFill="1" applyBorder="1"/>
    <xf numFmtId="0" fontId="0" fillId="15" borderId="4" xfId="0" applyFill="1" applyBorder="1"/>
    <xf numFmtId="14" fontId="0" fillId="0" borderId="0" xfId="0" applyNumberFormat="1"/>
    <xf numFmtId="20" fontId="0" fillId="0" borderId="5" xfId="0" applyNumberFormat="1" applyBorder="1"/>
    <xf numFmtId="0" fontId="4" fillId="17" borderId="1" xfId="0" applyFont="1" applyFill="1" applyBorder="1"/>
    <xf numFmtId="0" fontId="0" fillId="18" borderId="3" xfId="0" applyFill="1" applyBorder="1"/>
    <xf numFmtId="0" fontId="0" fillId="19" borderId="1" xfId="0" applyFill="1" applyBorder="1"/>
    <xf numFmtId="0" fontId="4" fillId="19" borderId="1" xfId="0" applyFont="1" applyFill="1" applyBorder="1"/>
    <xf numFmtId="0" fontId="0" fillId="20" borderId="3" xfId="0" applyFill="1" applyBorder="1"/>
    <xf numFmtId="0" fontId="0" fillId="21" borderId="3" xfId="0" applyFill="1" applyBorder="1"/>
    <xf numFmtId="0" fontId="0" fillId="22" borderId="3" xfId="0" applyFill="1" applyBorder="1"/>
    <xf numFmtId="0" fontId="0" fillId="19" borderId="8" xfId="0" applyFill="1" applyBorder="1"/>
    <xf numFmtId="0" fontId="0" fillId="22" borderId="4" xfId="0" applyFill="1" applyBorder="1"/>
    <xf numFmtId="0" fontId="0" fillId="0" borderId="9" xfId="0" applyBorder="1"/>
    <xf numFmtId="49" fontId="7" fillId="0" borderId="1" xfId="0" applyNumberFormat="1" applyFont="1" applyBorder="1"/>
    <xf numFmtId="49" fontId="4" fillId="6" borderId="1" xfId="0" applyNumberFormat="1" applyFont="1" applyFill="1" applyBorder="1"/>
    <xf numFmtId="49" fontId="0" fillId="7" borderId="3" xfId="0" applyNumberFormat="1" applyFill="1" applyBorder="1"/>
    <xf numFmtId="49" fontId="0" fillId="0" borderId="0" xfId="0" applyNumberFormat="1"/>
    <xf numFmtId="0" fontId="0" fillId="0" borderId="10" xfId="0" applyBorder="1"/>
    <xf numFmtId="0" fontId="4" fillId="19" borderId="9" xfId="0" applyFont="1" applyFill="1" applyBorder="1"/>
    <xf numFmtId="0" fontId="0" fillId="21" borderId="11" xfId="0" applyFill="1" applyBorder="1"/>
    <xf numFmtId="0" fontId="4" fillId="19" borderId="0" xfId="0" applyFont="1" applyFill="1" applyBorder="1"/>
    <xf numFmtId="20" fontId="0" fillId="0" borderId="2" xfId="0" applyNumberFormat="1" applyBorder="1"/>
    <xf numFmtId="0" fontId="0" fillId="0" borderId="0" xfId="0" applyFill="1" applyBorder="1"/>
    <xf numFmtId="49" fontId="0" fillId="0" borderId="0" xfId="0" applyNumberFormat="1" applyAlignment="1"/>
    <xf numFmtId="49" fontId="0" fillId="0" borderId="2" xfId="0" applyNumberFormat="1" applyBorder="1" applyAlignment="1"/>
    <xf numFmtId="49" fontId="0" fillId="0" borderId="0" xfId="0" applyNumberFormat="1" applyAlignment="1">
      <alignment horizontal="fill"/>
    </xf>
    <xf numFmtId="49" fontId="0" fillId="0" borderId="2" xfId="0" applyNumberFormat="1" applyBorder="1" applyAlignment="1">
      <alignment horizontal="fill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8" borderId="4" xfId="0" applyFill="1" applyBorder="1"/>
    <xf numFmtId="0" fontId="4" fillId="11" borderId="9" xfId="0" applyFont="1" applyFill="1" applyBorder="1"/>
    <xf numFmtId="0" fontId="0" fillId="23" borderId="11" xfId="0" applyFill="1" applyBorder="1"/>
    <xf numFmtId="0" fontId="0" fillId="0" borderId="10" xfId="0" applyFill="1" applyBorder="1"/>
    <xf numFmtId="1" fontId="0" fillId="0" borderId="1" xfId="0" applyNumberFormat="1" applyBorder="1"/>
    <xf numFmtId="1" fontId="0" fillId="0" borderId="0" xfId="0" applyNumberFormat="1"/>
    <xf numFmtId="0" fontId="0" fillId="0" borderId="0" xfId="0" applyBorder="1" applyAlignment="1">
      <alignment horizontal="center"/>
    </xf>
    <xf numFmtId="0" fontId="0" fillId="0" borderId="0" xfId="0" applyFill="1" applyBorder="1" applyAlignment="1">
      <alignment horizontal="center"/>
    </xf>
    <xf numFmtId="1" fontId="4" fillId="12" borderId="1" xfId="0" applyNumberFormat="1" applyFont="1" applyFill="1" applyBorder="1"/>
    <xf numFmtId="1" fontId="0" fillId="24" borderId="3" xfId="0" applyNumberFormat="1" applyFill="1" applyBorder="1"/>
    <xf numFmtId="1" fontId="0" fillId="0" borderId="0" xfId="0" applyNumberFormat="1" applyFill="1" applyBorder="1"/>
    <xf numFmtId="1" fontId="0" fillId="0" borderId="0" xfId="0" applyNumberForma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49" fontId="0" fillId="0" borderId="0" xfId="0" applyNumberForma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0" fillId="0" borderId="0" xfId="0" applyFill="1"/>
    <xf numFmtId="49" fontId="7" fillId="13" borderId="0" xfId="0" applyNumberFormat="1" applyFont="1" applyFill="1" applyBorder="1"/>
    <xf numFmtId="1" fontId="7" fillId="13" borderId="0" xfId="0" applyNumberFormat="1" applyFont="1" applyFill="1" applyBorder="1"/>
    <xf numFmtId="0" fontId="7" fillId="7" borderId="0" xfId="0" applyFont="1" applyFill="1" applyBorder="1"/>
    <xf numFmtId="0" fontId="0" fillId="25" borderId="0" xfId="0" applyFill="1" applyBorder="1"/>
    <xf numFmtId="49" fontId="0" fillId="0" borderId="0" xfId="0" applyNumberFormat="1" applyFill="1" applyBorder="1"/>
    <xf numFmtId="49" fontId="0" fillId="0" borderId="0" xfId="0" applyNumberFormat="1" applyBorder="1"/>
    <xf numFmtId="1" fontId="0" fillId="0" borderId="0" xfId="0" applyNumberFormat="1" applyBorder="1"/>
    <xf numFmtId="0" fontId="0" fillId="26" borderId="2" xfId="0" applyFill="1" applyBorder="1"/>
    <xf numFmtId="14" fontId="0" fillId="0" borderId="2" xfId="0" applyNumberFormat="1" applyBorder="1"/>
    <xf numFmtId="49" fontId="4" fillId="27" borderId="12" xfId="0" applyNumberFormat="1" applyFont="1" applyFill="1" applyBorder="1"/>
    <xf numFmtId="1" fontId="4" fillId="27" borderId="12" xfId="0" applyNumberFormat="1" applyFont="1" applyFill="1" applyBorder="1"/>
    <xf numFmtId="0" fontId="4" fillId="27" borderId="12" xfId="0" applyFont="1" applyFill="1" applyBorder="1"/>
    <xf numFmtId="0" fontId="2" fillId="25" borderId="12" xfId="0" applyFont="1" applyFill="1" applyBorder="1"/>
    <xf numFmtId="0" fontId="2" fillId="26" borderId="13" xfId="0" applyFont="1" applyFill="1" applyBorder="1"/>
    <xf numFmtId="0" fontId="0" fillId="0" borderId="7" xfId="0" applyBorder="1"/>
    <xf numFmtId="0" fontId="4" fillId="19" borderId="7" xfId="0" applyFont="1" applyFill="1" applyBorder="1"/>
    <xf numFmtId="0" fontId="0" fillId="21" borderId="6" xfId="0" applyFill="1" applyBorder="1"/>
    <xf numFmtId="0" fontId="0" fillId="0" borderId="5" xfId="0" applyBorder="1" applyAlignment="1">
      <alignment horizontal="center"/>
    </xf>
    <xf numFmtId="0" fontId="0" fillId="0" borderId="14" xfId="0" applyBorder="1"/>
    <xf numFmtId="0" fontId="4" fillId="19" borderId="14" xfId="0" applyFont="1" applyFill="1" applyBorder="1"/>
    <xf numFmtId="0" fontId="0" fillId="21" borderId="15" xfId="0" applyFill="1" applyBorder="1"/>
    <xf numFmtId="0" fontId="0" fillId="0" borderId="14" xfId="0" applyBorder="1" applyAlignment="1">
      <alignment horizontal="center"/>
    </xf>
    <xf numFmtId="1" fontId="0" fillId="0" borderId="0" xfId="0" applyNumberFormat="1" applyAlignment="1">
      <alignment horizontal="right"/>
    </xf>
    <xf numFmtId="0" fontId="0" fillId="23" borderId="4" xfId="0" applyFont="1" applyFill="1" applyBorder="1" applyAlignment="1">
      <alignment horizontal="center"/>
    </xf>
    <xf numFmtId="0" fontId="4" fillId="11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8" borderId="0" xfId="0" applyFont="1" applyFill="1"/>
    <xf numFmtId="0" fontId="4" fillId="28" borderId="0" xfId="0" applyFont="1" applyFill="1"/>
    <xf numFmtId="0" fontId="4" fillId="28" borderId="0" xfId="0" applyFont="1" applyFill="1" applyAlignment="1">
      <alignment horizontal="left"/>
    </xf>
    <xf numFmtId="0" fontId="10" fillId="28" borderId="0" xfId="0" applyFont="1" applyFill="1"/>
    <xf numFmtId="0" fontId="10" fillId="28" borderId="0" xfId="0" applyFont="1" applyFill="1" applyAlignment="1">
      <alignment horizontal="center"/>
    </xf>
    <xf numFmtId="0" fontId="4" fillId="19" borderId="0" xfId="0" applyFont="1" applyFill="1" applyBorder="1" applyAlignment="1">
      <alignment horizontal="center"/>
    </xf>
    <xf numFmtId="0" fontId="0" fillId="21" borderId="3" xfId="0" applyFill="1" applyBorder="1" applyAlignment="1">
      <alignment horizontal="center"/>
    </xf>
    <xf numFmtId="14" fontId="0" fillId="0" borderId="16" xfId="0" applyNumberFormat="1" applyBorder="1"/>
    <xf numFmtId="0" fontId="2" fillId="0" borderId="0" xfId="0" applyFont="1"/>
    <xf numFmtId="49" fontId="2" fillId="0" borderId="0" xfId="0" applyNumberFormat="1" applyFont="1" applyFill="1" applyBorder="1" applyAlignment="1"/>
    <xf numFmtId="0" fontId="4" fillId="6" borderId="17" xfId="0" applyFont="1" applyFill="1" applyBorder="1"/>
    <xf numFmtId="0" fontId="2" fillId="6" borderId="18" xfId="0" applyFont="1" applyFill="1" applyBorder="1"/>
    <xf numFmtId="0" fontId="2" fillId="6" borderId="19" xfId="0" applyFont="1" applyFill="1" applyBorder="1"/>
    <xf numFmtId="0" fontId="0" fillId="7" borderId="11" xfId="0" applyFill="1" applyBorder="1"/>
    <xf numFmtId="0" fontId="4" fillId="27" borderId="9" xfId="0" applyFont="1" applyFill="1" applyBorder="1" applyAlignment="1">
      <alignment horizontal="center"/>
    </xf>
    <xf numFmtId="0" fontId="4" fillId="27" borderId="1" xfId="0" applyFont="1" applyFill="1" applyBorder="1" applyAlignment="1">
      <alignment horizontal="center"/>
    </xf>
    <xf numFmtId="0" fontId="4" fillId="27" borderId="8" xfId="0" applyFont="1" applyFill="1" applyBorder="1" applyAlignment="1">
      <alignment horizontal="center"/>
    </xf>
    <xf numFmtId="0" fontId="0" fillId="8" borderId="3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8" borderId="4" xfId="0" applyFill="1" applyBorder="1" applyAlignment="1">
      <alignment horizontal="left"/>
    </xf>
    <xf numFmtId="0" fontId="0" fillId="0" borderId="8" xfId="0" applyBorder="1" applyAlignment="1">
      <alignment horizontal="center"/>
    </xf>
    <xf numFmtId="0" fontId="0" fillId="6" borderId="8" xfId="0" applyFill="1" applyBorder="1" applyAlignment="1">
      <alignment horizontal="center"/>
    </xf>
    <xf numFmtId="1" fontId="0" fillId="0" borderId="2" xfId="0" applyNumberFormat="1" applyBorder="1"/>
    <xf numFmtId="14" fontId="0" fillId="0" borderId="1" xfId="0" applyNumberFormat="1" applyBorder="1"/>
    <xf numFmtId="14" fontId="4" fillId="14" borderId="1" xfId="0" applyNumberFormat="1" applyFont="1" applyFill="1" applyBorder="1"/>
    <xf numFmtId="14" fontId="0" fillId="13" borderId="3" xfId="0" applyNumberFormat="1" applyFill="1" applyBorder="1"/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2" xfId="0" applyFill="1" applyBorder="1" applyAlignment="1">
      <alignment horizontal="center"/>
    </xf>
    <xf numFmtId="0" fontId="9" fillId="0" borderId="2" xfId="0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14" xfId="2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9" fontId="0" fillId="0" borderId="14" xfId="4" applyFont="1" applyBorder="1" applyAlignment="1">
      <alignment horizontal="center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3" fillId="0" borderId="2" xfId="0" applyFont="1" applyFill="1" applyBorder="1" applyAlignment="1">
      <alignment horizontal="center"/>
    </xf>
    <xf numFmtId="1" fontId="4" fillId="27" borderId="8" xfId="0" applyNumberFormat="1" applyFont="1" applyFill="1" applyBorder="1" applyAlignment="1">
      <alignment horizontal="center"/>
    </xf>
    <xf numFmtId="0" fontId="14" fillId="28" borderId="0" xfId="0" applyFont="1" applyFill="1"/>
    <xf numFmtId="14" fontId="0" fillId="0" borderId="0" xfId="0" applyNumberFormat="1" applyFont="1"/>
    <xf numFmtId="0" fontId="0" fillId="22" borderId="0" xfId="0" applyFill="1" applyBorder="1" applyAlignment="1">
      <alignment horizontal="center"/>
    </xf>
    <xf numFmtId="0" fontId="0" fillId="22" borderId="0" xfId="0" applyFill="1" applyBorder="1"/>
    <xf numFmtId="0" fontId="0" fillId="22" borderId="0" xfId="0" applyFill="1" applyBorder="1" applyAlignment="1">
      <alignment horizontal="right"/>
    </xf>
    <xf numFmtId="0" fontId="6" fillId="22" borderId="0" xfId="3" applyFill="1" applyBorder="1" applyAlignment="1">
      <alignment horizontal="center"/>
    </xf>
    <xf numFmtId="0" fontId="0" fillId="22" borderId="0" xfId="0" applyFont="1" applyFill="1" applyBorder="1" applyAlignment="1">
      <alignment horizontal="center"/>
    </xf>
    <xf numFmtId="1" fontId="0" fillId="0" borderId="5" xfId="0" applyNumberFormat="1" applyBorder="1"/>
    <xf numFmtId="1" fontId="0" fillId="0" borderId="5" xfId="0" applyNumberFormat="1" applyBorder="1" applyAlignment="1">
      <alignment horizontal="right"/>
    </xf>
    <xf numFmtId="0" fontId="0" fillId="2" borderId="0" xfId="0" applyFill="1" applyBorder="1"/>
  </cellXfs>
  <cellStyles count="5">
    <cellStyle name="Bad" xfId="1" builtinId="27"/>
    <cellStyle name="Good" xfId="2" builtinId="26"/>
    <cellStyle name="Neutral" xfId="3" builtinId="28"/>
    <cellStyle name="Normal" xfId="0" builtinId="0"/>
    <cellStyle name="Percent" xfId="4" builtinId="5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499984740745262"/>
      </font>
      <fill>
        <patternFill patternType="solid">
          <fgColor indexed="64"/>
          <bgColor theme="0" tint="-0.249977111117893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01"/>
  <sheetViews>
    <sheetView tabSelected="1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K42" sqref="K42"/>
    </sheetView>
  </sheetViews>
  <sheetFormatPr baseColWidth="10" defaultRowHeight="16" x14ac:dyDescent="0.2"/>
  <cols>
    <col min="1" max="1" width="10.83203125" style="34"/>
    <col min="2" max="2" width="10.83203125" customWidth="1"/>
    <col min="3" max="3" width="14.33203125" customWidth="1"/>
    <col min="4" max="4" width="16.5" style="90" customWidth="1"/>
    <col min="5" max="5" width="10.6640625" customWidth="1"/>
    <col min="6" max="6" width="10.83203125" style="45" customWidth="1"/>
    <col min="7" max="7" width="7.83203125" style="35" customWidth="1"/>
    <col min="8" max="8" width="11.5" style="83" customWidth="1"/>
    <col min="9" max="9" width="13.1640625" style="9" customWidth="1"/>
    <col min="10" max="10" width="19.5" style="3" customWidth="1"/>
    <col min="11" max="11" width="12.83203125" style="3" customWidth="1"/>
    <col min="12" max="12" width="8.1640625" style="53" customWidth="1"/>
    <col min="13" max="13" width="11.33203125" style="3" customWidth="1"/>
    <col min="14" max="14" width="13.83203125" style="35" customWidth="1"/>
    <col min="15" max="15" width="18.1640625" style="9" customWidth="1"/>
    <col min="16" max="16" width="14.6640625" style="52" customWidth="1"/>
    <col min="17" max="17" width="19" style="4" customWidth="1"/>
    <col min="18" max="18" width="12" style="19" customWidth="1"/>
    <col min="19" max="19" width="12.33203125" style="9" customWidth="1"/>
    <col min="20" max="20" width="13.33203125" customWidth="1"/>
    <col min="21" max="21" width="13.33203125" style="4" customWidth="1"/>
    <col min="22" max="22" width="8.5" customWidth="1"/>
    <col min="23" max="23" width="9.6640625" style="4" customWidth="1"/>
    <col min="24" max="24" width="19.5" customWidth="1"/>
    <col min="25" max="25" width="22.83203125" customWidth="1"/>
    <col min="26" max="26" width="20.5" customWidth="1"/>
    <col min="27" max="27" width="21.1640625" style="4" customWidth="1"/>
    <col min="28" max="28" width="14.33203125" customWidth="1"/>
    <col min="30" max="30" width="11.33203125" customWidth="1"/>
    <col min="31" max="31" width="12.1640625" customWidth="1"/>
    <col min="33" max="33" width="25.5" customWidth="1"/>
    <col min="34" max="34" width="26.33203125" customWidth="1"/>
  </cols>
  <sheetData>
    <row r="1" spans="1:35" s="2" customFormat="1" ht="21" x14ac:dyDescent="0.25">
      <c r="A1" s="31" t="s">
        <v>60</v>
      </c>
      <c r="D1" s="109"/>
      <c r="F1" s="113"/>
      <c r="G1" s="30"/>
      <c r="H1" s="83"/>
      <c r="I1" s="79"/>
      <c r="J1" s="3"/>
      <c r="K1" s="3"/>
      <c r="L1" s="53"/>
      <c r="M1" s="3"/>
      <c r="N1" s="30"/>
      <c r="P1" s="51"/>
      <c r="R1" s="116"/>
    </row>
    <row r="2" spans="1:35" s="2" customFormat="1" x14ac:dyDescent="0.2">
      <c r="A2" s="32" t="s">
        <v>3</v>
      </c>
      <c r="B2" s="1"/>
      <c r="C2" s="1"/>
      <c r="D2" s="110"/>
      <c r="E2" s="1"/>
      <c r="F2" s="114"/>
      <c r="G2" s="36" t="s">
        <v>29</v>
      </c>
      <c r="H2" s="84"/>
      <c r="I2" s="80"/>
      <c r="J2" s="38"/>
      <c r="K2" s="38" t="s">
        <v>58</v>
      </c>
      <c r="L2" s="96"/>
      <c r="M2" s="38"/>
      <c r="N2" s="48" t="s">
        <v>4</v>
      </c>
      <c r="O2" s="11"/>
      <c r="P2" s="55" t="s">
        <v>5</v>
      </c>
      <c r="Q2" s="12"/>
      <c r="R2" s="117" t="s">
        <v>6</v>
      </c>
      <c r="S2" s="14"/>
      <c r="T2" s="16" t="s">
        <v>17</v>
      </c>
      <c r="U2" s="17"/>
      <c r="V2" s="21" t="s">
        <v>46</v>
      </c>
      <c r="W2" s="89" t="s">
        <v>12</v>
      </c>
      <c r="X2" s="24" t="s">
        <v>18</v>
      </c>
      <c r="Y2" s="23"/>
      <c r="Z2" s="23"/>
      <c r="AA2" s="28"/>
      <c r="AB2" s="101" t="s">
        <v>33</v>
      </c>
      <c r="AC2" s="102"/>
      <c r="AD2" s="102"/>
      <c r="AE2" s="102"/>
      <c r="AF2" s="103"/>
      <c r="AG2" s="103"/>
      <c r="AH2" s="103"/>
    </row>
    <row r="3" spans="1:35" s="5" customFormat="1" ht="17" thickBot="1" x14ac:dyDescent="0.25">
      <c r="A3" s="33" t="s">
        <v>0</v>
      </c>
      <c r="B3" s="7" t="s">
        <v>1</v>
      </c>
      <c r="C3" s="6" t="s">
        <v>13</v>
      </c>
      <c r="D3" s="108" t="s">
        <v>14</v>
      </c>
      <c r="E3" s="6" t="s">
        <v>28</v>
      </c>
      <c r="F3" s="112" t="s">
        <v>2</v>
      </c>
      <c r="G3" s="37" t="s">
        <v>48</v>
      </c>
      <c r="H3" s="85" t="s">
        <v>42</v>
      </c>
      <c r="I3" s="81" t="s">
        <v>49</v>
      </c>
      <c r="J3" s="26" t="s">
        <v>25</v>
      </c>
      <c r="K3" s="26" t="s">
        <v>27</v>
      </c>
      <c r="L3" s="97" t="s">
        <v>57</v>
      </c>
      <c r="M3" s="26" t="s">
        <v>43</v>
      </c>
      <c r="N3" s="49" t="s">
        <v>15</v>
      </c>
      <c r="O3" s="10" t="s">
        <v>16</v>
      </c>
      <c r="P3" s="56" t="s">
        <v>15</v>
      </c>
      <c r="Q3" s="8" t="s">
        <v>16</v>
      </c>
      <c r="R3" s="118" t="s">
        <v>7</v>
      </c>
      <c r="S3" s="15" t="s">
        <v>8</v>
      </c>
      <c r="T3" s="13" t="s">
        <v>9</v>
      </c>
      <c r="U3" s="18" t="s">
        <v>10</v>
      </c>
      <c r="V3" s="22" t="s">
        <v>11</v>
      </c>
      <c r="W3" s="88" t="s">
        <v>50</v>
      </c>
      <c r="X3" s="25" t="s">
        <v>21</v>
      </c>
      <c r="Y3" s="27" t="s">
        <v>19</v>
      </c>
      <c r="Z3" s="25" t="s">
        <v>20</v>
      </c>
      <c r="AA3" s="29" t="s">
        <v>22</v>
      </c>
      <c r="AB3" s="104" t="s">
        <v>30</v>
      </c>
      <c r="AC3" s="7" t="s">
        <v>32</v>
      </c>
      <c r="AD3" s="6" t="s">
        <v>34</v>
      </c>
      <c r="AE3" s="7" t="s">
        <v>35</v>
      </c>
      <c r="AF3" s="47" t="s">
        <v>59</v>
      </c>
      <c r="AG3" s="47" t="s">
        <v>81</v>
      </c>
      <c r="AH3" s="47" t="s">
        <v>121</v>
      </c>
    </row>
    <row r="4" spans="1:35" x14ac:dyDescent="0.2">
      <c r="A4" s="61" t="s">
        <v>47</v>
      </c>
      <c r="B4" s="62" t="s">
        <v>61</v>
      </c>
      <c r="C4">
        <v>1</v>
      </c>
      <c r="D4" s="63" t="s">
        <v>62</v>
      </c>
      <c r="E4" t="s">
        <v>36</v>
      </c>
      <c r="F4" s="45" t="s">
        <v>38</v>
      </c>
      <c r="G4" s="46" t="s">
        <v>40</v>
      </c>
      <c r="H4" s="86" t="s">
        <v>40</v>
      </c>
      <c r="I4" s="82" t="s">
        <v>40</v>
      </c>
      <c r="J4" s="40"/>
      <c r="K4" s="40">
        <v>17</v>
      </c>
      <c r="L4" s="133"/>
      <c r="M4" s="134"/>
      <c r="N4" s="35">
        <v>1020</v>
      </c>
      <c r="O4" s="9">
        <f>N4 - variables!B$1</f>
        <v>950</v>
      </c>
      <c r="P4" s="57">
        <v>1040</v>
      </c>
      <c r="Q4" s="138">
        <f>P4 - variables!B$1</f>
        <v>970</v>
      </c>
      <c r="R4" s="19">
        <v>43734</v>
      </c>
      <c r="S4" s="20">
        <v>0.92708333333333337</v>
      </c>
      <c r="T4" s="19">
        <v>43735</v>
      </c>
      <c r="U4" s="39">
        <v>0.91388888888888886</v>
      </c>
      <c r="V4">
        <v>2</v>
      </c>
      <c r="W4" s="45" t="s">
        <v>40</v>
      </c>
      <c r="X4" s="41"/>
      <c r="Y4" s="43"/>
      <c r="Z4" s="41"/>
      <c r="AA4" s="44"/>
      <c r="AB4" s="105">
        <f t="array" ref="AB4">SUM(1/COUNTIF(B4:B42,B4:B42))</f>
        <v>23.999999999999989</v>
      </c>
      <c r="AC4" s="106">
        <f>COUNTIF(I4:I101,"y")</f>
        <v>34</v>
      </c>
      <c r="AD4" s="106">
        <f>COUNTIF(F4:F101,"m")</f>
        <v>22</v>
      </c>
      <c r="AE4" s="106">
        <f>COUNTIF(F4:F101,"f")</f>
        <v>17</v>
      </c>
      <c r="AF4" s="107">
        <f>COUNTIF(L4:L101,"y")</f>
        <v>2</v>
      </c>
      <c r="AG4" s="107">
        <f>AVERAGE(N4:N100)</f>
        <v>1076.4102564102564</v>
      </c>
      <c r="AH4" s="130">
        <f>AVERAGE(P4:P100)</f>
        <v>1111.578947368421</v>
      </c>
      <c r="AI4" s="52"/>
    </row>
    <row r="5" spans="1:35" x14ac:dyDescent="0.2">
      <c r="A5" s="61" t="s">
        <v>63</v>
      </c>
      <c r="B5" s="62" t="s">
        <v>64</v>
      </c>
      <c r="C5">
        <v>1</v>
      </c>
      <c r="D5" s="63" t="s">
        <v>65</v>
      </c>
      <c r="E5" t="s">
        <v>36</v>
      </c>
      <c r="F5" s="45" t="s">
        <v>38</v>
      </c>
      <c r="G5" s="46" t="s">
        <v>40</v>
      </c>
      <c r="H5" s="86" t="s">
        <v>40</v>
      </c>
      <c r="I5" s="82" t="s">
        <v>40</v>
      </c>
      <c r="J5" s="40"/>
      <c r="K5" s="40">
        <v>16</v>
      </c>
      <c r="L5" s="133"/>
      <c r="M5" s="134"/>
      <c r="N5" s="35">
        <v>960</v>
      </c>
      <c r="O5" s="9">
        <f>N5 - variables!B$1</f>
        <v>890</v>
      </c>
      <c r="P5" s="57">
        <v>940</v>
      </c>
      <c r="Q5" s="138">
        <f>P5 - variables!B$1</f>
        <v>870</v>
      </c>
      <c r="R5" s="19">
        <v>43734</v>
      </c>
      <c r="S5" s="20">
        <v>0.94791666666666663</v>
      </c>
      <c r="T5" s="19">
        <v>43736</v>
      </c>
      <c r="U5" s="39">
        <v>0.88124999999999998</v>
      </c>
      <c r="V5">
        <v>2</v>
      </c>
      <c r="W5" s="45" t="s">
        <v>40</v>
      </c>
      <c r="X5" s="41"/>
      <c r="Y5" s="41"/>
      <c r="Z5" s="41" t="s">
        <v>74</v>
      </c>
      <c r="AA5" s="44"/>
      <c r="AB5" s="99" t="s">
        <v>31</v>
      </c>
      <c r="AH5" s="52"/>
      <c r="AI5" s="52"/>
    </row>
    <row r="6" spans="1:35" x14ac:dyDescent="0.2">
      <c r="A6" s="61" t="s">
        <v>56</v>
      </c>
      <c r="B6" s="62" t="s">
        <v>68</v>
      </c>
      <c r="C6">
        <v>1</v>
      </c>
      <c r="D6" s="63" t="s">
        <v>66</v>
      </c>
      <c r="E6" t="s">
        <v>36</v>
      </c>
      <c r="F6" s="45" t="s">
        <v>38</v>
      </c>
      <c r="G6" s="46" t="s">
        <v>40</v>
      </c>
      <c r="H6" s="86" t="s">
        <v>40</v>
      </c>
      <c r="I6" s="82" t="s">
        <v>40</v>
      </c>
      <c r="J6" s="40"/>
      <c r="K6" s="140">
        <v>18</v>
      </c>
      <c r="L6" s="133"/>
      <c r="M6" s="135"/>
      <c r="N6" s="35">
        <v>1200</v>
      </c>
      <c r="O6" s="9">
        <f>N6 - variables!B$1</f>
        <v>1130</v>
      </c>
      <c r="P6" s="57">
        <v>1200</v>
      </c>
      <c r="Q6" s="138">
        <f>P6 - variables!B$1</f>
        <v>1130</v>
      </c>
      <c r="R6" s="19">
        <v>43734</v>
      </c>
      <c r="S6" s="20">
        <v>0.95763888888888893</v>
      </c>
      <c r="T6" s="19">
        <v>43735</v>
      </c>
      <c r="U6" s="39">
        <v>0.92847222222222225</v>
      </c>
      <c r="V6">
        <v>1</v>
      </c>
      <c r="W6" s="45" t="s">
        <v>40</v>
      </c>
      <c r="X6" s="41"/>
      <c r="Y6" s="41"/>
      <c r="Z6" s="41"/>
      <c r="AA6" s="44"/>
      <c r="AB6" s="99" t="s">
        <v>31</v>
      </c>
      <c r="AI6" s="52"/>
    </row>
    <row r="7" spans="1:35" x14ac:dyDescent="0.2">
      <c r="A7" s="61" t="s">
        <v>67</v>
      </c>
      <c r="B7" s="62" t="s">
        <v>69</v>
      </c>
      <c r="C7">
        <v>1</v>
      </c>
      <c r="D7" s="63" t="s">
        <v>70</v>
      </c>
      <c r="E7" t="s">
        <v>36</v>
      </c>
      <c r="F7" s="45" t="s">
        <v>37</v>
      </c>
      <c r="G7" s="46" t="s">
        <v>40</v>
      </c>
      <c r="H7" s="86" t="s">
        <v>41</v>
      </c>
      <c r="I7" s="82" t="s">
        <v>41</v>
      </c>
      <c r="J7" s="54" t="s">
        <v>75</v>
      </c>
      <c r="K7" s="40">
        <v>23</v>
      </c>
      <c r="L7" s="133"/>
      <c r="M7" s="135"/>
      <c r="N7" s="50">
        <v>1000</v>
      </c>
      <c r="O7" s="9">
        <f>N7 - variables!B$1</f>
        <v>930</v>
      </c>
      <c r="P7" s="57">
        <v>1000</v>
      </c>
      <c r="Q7" s="138">
        <f>P7 - variables!B$1</f>
        <v>930</v>
      </c>
      <c r="R7" s="19">
        <v>43734</v>
      </c>
      <c r="S7" s="20">
        <v>0.96875</v>
      </c>
      <c r="T7" s="19">
        <v>43736</v>
      </c>
      <c r="U7" s="39">
        <v>0.8881944444444444</v>
      </c>
      <c r="V7">
        <v>2</v>
      </c>
      <c r="W7" s="45" t="s">
        <v>40</v>
      </c>
      <c r="X7" s="41"/>
      <c r="Y7" s="41"/>
      <c r="Z7" s="41" t="s">
        <v>74</v>
      </c>
      <c r="AA7" s="44" t="s">
        <v>76</v>
      </c>
      <c r="AB7" s="99" t="s">
        <v>31</v>
      </c>
      <c r="AI7" s="52"/>
    </row>
    <row r="8" spans="1:35" x14ac:dyDescent="0.2">
      <c r="A8" s="61" t="s">
        <v>47</v>
      </c>
      <c r="B8" s="62" t="s">
        <v>71</v>
      </c>
      <c r="C8">
        <v>1</v>
      </c>
      <c r="D8" s="63" t="s">
        <v>72</v>
      </c>
      <c r="E8" t="s">
        <v>36</v>
      </c>
      <c r="F8" s="45" t="s">
        <v>37</v>
      </c>
      <c r="G8" s="46" t="s">
        <v>40</v>
      </c>
      <c r="H8" s="86" t="s">
        <v>40</v>
      </c>
      <c r="I8" s="82" t="s">
        <v>40</v>
      </c>
      <c r="J8" s="40"/>
      <c r="K8" s="40">
        <v>22</v>
      </c>
      <c r="L8" s="133"/>
      <c r="M8" s="135"/>
      <c r="N8" s="50">
        <v>920</v>
      </c>
      <c r="O8" s="9">
        <f>N8 - variables!B$1</f>
        <v>850</v>
      </c>
      <c r="P8" s="57">
        <v>900</v>
      </c>
      <c r="Q8" s="138">
        <f>P8 - variables!B$1</f>
        <v>830</v>
      </c>
      <c r="R8" s="19">
        <v>43735</v>
      </c>
      <c r="S8" s="20">
        <v>0.92013888888888884</v>
      </c>
      <c r="T8" s="19">
        <v>43737</v>
      </c>
      <c r="U8" s="39">
        <v>0.9145833333333333</v>
      </c>
      <c r="V8">
        <v>2</v>
      </c>
      <c r="W8" s="45" t="s">
        <v>40</v>
      </c>
      <c r="X8" s="41"/>
      <c r="Y8" s="41" t="s">
        <v>73</v>
      </c>
      <c r="Z8" s="41"/>
      <c r="AA8" s="44"/>
      <c r="AB8" s="99" t="s">
        <v>31</v>
      </c>
      <c r="AI8" s="52"/>
    </row>
    <row r="9" spans="1:35" x14ac:dyDescent="0.2">
      <c r="A9" s="61" t="s">
        <v>63</v>
      </c>
      <c r="B9" s="62" t="s">
        <v>77</v>
      </c>
      <c r="C9">
        <v>1</v>
      </c>
      <c r="D9" s="63" t="s">
        <v>78</v>
      </c>
      <c r="E9" t="s">
        <v>36</v>
      </c>
      <c r="F9" s="45" t="s">
        <v>37</v>
      </c>
      <c r="G9" s="46" t="s">
        <v>40</v>
      </c>
      <c r="H9" s="86" t="s">
        <v>40</v>
      </c>
      <c r="I9" s="82" t="s">
        <v>41</v>
      </c>
      <c r="J9" s="54" t="s">
        <v>87</v>
      </c>
      <c r="K9" s="140">
        <v>18</v>
      </c>
      <c r="L9" s="133"/>
      <c r="M9" s="135"/>
      <c r="N9" s="50">
        <v>880</v>
      </c>
      <c r="O9" s="9">
        <f>N9 - variables!B$1</f>
        <v>810</v>
      </c>
      <c r="P9" s="58">
        <v>820</v>
      </c>
      <c r="Q9" s="138">
        <f>P9 - variables!B$1</f>
        <v>750</v>
      </c>
      <c r="R9" s="19">
        <v>43736</v>
      </c>
      <c r="S9" s="20">
        <v>0.94513888888888886</v>
      </c>
      <c r="T9" s="19">
        <v>43738</v>
      </c>
      <c r="U9" s="39">
        <v>0.9194444444444444</v>
      </c>
      <c r="V9">
        <v>2</v>
      </c>
      <c r="W9" s="45" t="s">
        <v>40</v>
      </c>
      <c r="X9" s="41"/>
      <c r="Y9" s="41"/>
      <c r="Z9" s="41"/>
      <c r="AA9" s="44" t="s">
        <v>82</v>
      </c>
      <c r="AB9" s="100" t="s">
        <v>31</v>
      </c>
      <c r="AI9" s="52"/>
    </row>
    <row r="10" spans="1:35" x14ac:dyDescent="0.2">
      <c r="A10" s="61" t="s">
        <v>67</v>
      </c>
      <c r="B10" s="62" t="s">
        <v>79</v>
      </c>
      <c r="C10">
        <v>1</v>
      </c>
      <c r="D10" s="63" t="s">
        <v>80</v>
      </c>
      <c r="E10" t="s">
        <v>36</v>
      </c>
      <c r="F10" s="45" t="s">
        <v>38</v>
      </c>
      <c r="G10" s="46" t="s">
        <v>40</v>
      </c>
      <c r="H10" s="86" t="s">
        <v>40</v>
      </c>
      <c r="I10" s="82" t="s">
        <v>40</v>
      </c>
      <c r="J10" s="40"/>
      <c r="K10" s="40">
        <v>17</v>
      </c>
      <c r="L10" s="133"/>
      <c r="M10" s="135"/>
      <c r="N10" s="50">
        <v>1080</v>
      </c>
      <c r="O10" s="9">
        <f>N10 - variables!B$1</f>
        <v>1010</v>
      </c>
      <c r="P10" s="57">
        <v>1060</v>
      </c>
      <c r="Q10" s="138">
        <f>P10 - variables!B$1</f>
        <v>990</v>
      </c>
      <c r="R10" s="19">
        <v>43736</v>
      </c>
      <c r="S10" s="20">
        <v>0.93263888888888891</v>
      </c>
      <c r="T10" s="19">
        <v>43738</v>
      </c>
      <c r="U10" s="39">
        <v>0.92638888888888893</v>
      </c>
      <c r="V10">
        <v>2</v>
      </c>
      <c r="W10" s="45" t="s">
        <v>40</v>
      </c>
      <c r="X10" s="41"/>
      <c r="Y10" s="41"/>
      <c r="Z10" s="41"/>
      <c r="AA10" s="44" t="s">
        <v>82</v>
      </c>
      <c r="AB10" s="99" t="s">
        <v>31</v>
      </c>
      <c r="AI10" s="52"/>
    </row>
    <row r="11" spans="1:35" x14ac:dyDescent="0.2">
      <c r="A11" s="61" t="s">
        <v>83</v>
      </c>
      <c r="B11" s="127" t="s">
        <v>84</v>
      </c>
      <c r="C11">
        <v>1</v>
      </c>
      <c r="D11" s="128" t="s">
        <v>85</v>
      </c>
      <c r="E11" t="s">
        <v>36</v>
      </c>
      <c r="F11" s="45" t="s">
        <v>37</v>
      </c>
      <c r="G11" s="46" t="s">
        <v>40</v>
      </c>
      <c r="H11" s="126" t="s">
        <v>40</v>
      </c>
      <c r="I11" s="82" t="s">
        <v>40</v>
      </c>
      <c r="J11" s="40"/>
      <c r="K11" s="40">
        <v>21</v>
      </c>
      <c r="L11" s="133"/>
      <c r="M11" s="135"/>
      <c r="N11" s="50">
        <v>960</v>
      </c>
      <c r="O11" s="9">
        <f>N11 - variables!B$1</f>
        <v>890</v>
      </c>
      <c r="P11" s="57">
        <v>980</v>
      </c>
      <c r="Q11" s="138">
        <f>P11 - variables!B$1</f>
        <v>910</v>
      </c>
      <c r="R11" s="19">
        <v>43738</v>
      </c>
      <c r="S11" s="20">
        <v>0.94374999999999998</v>
      </c>
      <c r="T11" s="19">
        <v>43742</v>
      </c>
      <c r="U11" s="39">
        <v>2.7777777777777779E-3</v>
      </c>
      <c r="V11">
        <v>2</v>
      </c>
      <c r="W11" s="45" t="s">
        <v>40</v>
      </c>
      <c r="X11" s="41" t="s">
        <v>86</v>
      </c>
      <c r="Y11" s="41"/>
      <c r="Z11" s="41" t="s">
        <v>120</v>
      </c>
      <c r="AA11" s="44"/>
      <c r="AB11" s="99" t="s">
        <v>31</v>
      </c>
      <c r="AI11" s="52"/>
    </row>
    <row r="12" spans="1:35" x14ac:dyDescent="0.2">
      <c r="A12" s="61" t="s">
        <v>88</v>
      </c>
      <c r="B12" s="62" t="s">
        <v>89</v>
      </c>
      <c r="C12">
        <v>1</v>
      </c>
      <c r="D12" s="63" t="s">
        <v>90</v>
      </c>
      <c r="E12" t="s">
        <v>36</v>
      </c>
      <c r="F12" s="45" t="s">
        <v>38</v>
      </c>
      <c r="G12" s="46" t="s">
        <v>40</v>
      </c>
      <c r="H12" s="86" t="s">
        <v>40</v>
      </c>
      <c r="I12" s="82" t="s">
        <v>40</v>
      </c>
      <c r="J12" s="40"/>
      <c r="K12" s="40">
        <v>17</v>
      </c>
      <c r="L12" s="133"/>
      <c r="M12" s="135"/>
      <c r="N12" s="50">
        <v>1200</v>
      </c>
      <c r="O12" s="9">
        <f>N12 - variables!B$1</f>
        <v>1130</v>
      </c>
      <c r="P12" s="57">
        <v>1240</v>
      </c>
      <c r="Q12" s="138">
        <f>P12 - variables!B$1</f>
        <v>1170</v>
      </c>
      <c r="R12" s="19">
        <v>43740</v>
      </c>
      <c r="S12" s="20">
        <v>0.94166666666666676</v>
      </c>
      <c r="T12" s="19">
        <v>43741</v>
      </c>
      <c r="U12" s="39">
        <v>0.98819444444444438</v>
      </c>
      <c r="V12">
        <v>2</v>
      </c>
      <c r="W12" s="45" t="s">
        <v>40</v>
      </c>
      <c r="X12" s="41"/>
      <c r="Y12" s="41"/>
      <c r="Z12" s="41"/>
      <c r="AA12" s="44"/>
      <c r="AB12" s="99" t="s">
        <v>31</v>
      </c>
      <c r="AI12" s="52"/>
    </row>
    <row r="13" spans="1:35" x14ac:dyDescent="0.2">
      <c r="A13" s="61" t="s">
        <v>91</v>
      </c>
      <c r="B13" s="62" t="s">
        <v>92</v>
      </c>
      <c r="C13">
        <v>1</v>
      </c>
      <c r="D13" s="63" t="s">
        <v>93</v>
      </c>
      <c r="E13" t="s">
        <v>36</v>
      </c>
      <c r="F13" s="45" t="s">
        <v>37</v>
      </c>
      <c r="G13" s="46" t="s">
        <v>40</v>
      </c>
      <c r="H13" s="86" t="s">
        <v>40</v>
      </c>
      <c r="I13" s="82" t="s">
        <v>40</v>
      </c>
      <c r="J13" s="40"/>
      <c r="K13" s="40">
        <v>22</v>
      </c>
      <c r="L13" s="133"/>
      <c r="M13" s="135"/>
      <c r="N13" s="35">
        <v>920</v>
      </c>
      <c r="O13" s="9">
        <f>N13 - variables!B$1</f>
        <v>850</v>
      </c>
      <c r="P13" s="57">
        <v>960</v>
      </c>
      <c r="Q13" s="138">
        <f>P13 - variables!B$1</f>
        <v>890</v>
      </c>
      <c r="R13" s="19">
        <v>43740</v>
      </c>
      <c r="S13" s="20">
        <v>0.9458333333333333</v>
      </c>
      <c r="T13" s="19">
        <v>43741</v>
      </c>
      <c r="U13" s="39">
        <v>0.96527777777777779</v>
      </c>
      <c r="V13">
        <v>2</v>
      </c>
      <c r="W13" s="45" t="s">
        <v>40</v>
      </c>
      <c r="X13" s="41"/>
      <c r="Y13" s="41"/>
      <c r="Z13" s="41"/>
      <c r="AA13" s="44"/>
      <c r="AB13" s="99" t="s">
        <v>31</v>
      </c>
      <c r="AI13" s="52"/>
    </row>
    <row r="14" spans="1:35" x14ac:dyDescent="0.2">
      <c r="A14" s="61" t="s">
        <v>94</v>
      </c>
      <c r="B14" s="62" t="s">
        <v>95</v>
      </c>
      <c r="C14">
        <v>1</v>
      </c>
      <c r="D14" s="63" t="s">
        <v>96</v>
      </c>
      <c r="E14" t="s">
        <v>36</v>
      </c>
      <c r="F14" s="45" t="s">
        <v>37</v>
      </c>
      <c r="G14" s="46" t="s">
        <v>40</v>
      </c>
      <c r="H14" s="86" t="s">
        <v>40</v>
      </c>
      <c r="I14" s="82" t="s">
        <v>40</v>
      </c>
      <c r="J14" s="54"/>
      <c r="K14" s="140">
        <v>18</v>
      </c>
      <c r="L14" s="133"/>
      <c r="M14" s="135"/>
      <c r="N14" s="50">
        <v>980</v>
      </c>
      <c r="O14" s="9">
        <f>N14 - variables!B$1</f>
        <v>910</v>
      </c>
      <c r="P14" s="58">
        <v>1040</v>
      </c>
      <c r="Q14" s="138">
        <f>P14 - variables!B$1</f>
        <v>970</v>
      </c>
      <c r="R14" s="19">
        <v>43740</v>
      </c>
      <c r="S14" s="20">
        <v>0.95277777777777783</v>
      </c>
      <c r="T14" s="19">
        <v>43741</v>
      </c>
      <c r="U14" s="39">
        <v>0.97222222222222221</v>
      </c>
      <c r="V14">
        <v>2</v>
      </c>
      <c r="W14" s="45" t="s">
        <v>40</v>
      </c>
      <c r="X14" s="41"/>
      <c r="Y14" s="41"/>
      <c r="Z14" s="41"/>
      <c r="AA14" s="44"/>
      <c r="AB14" s="100" t="s">
        <v>31</v>
      </c>
      <c r="AI14" s="52"/>
    </row>
    <row r="15" spans="1:35" x14ac:dyDescent="0.2">
      <c r="A15" s="61" t="s">
        <v>97</v>
      </c>
      <c r="B15" s="62" t="s">
        <v>98</v>
      </c>
      <c r="C15">
        <v>1</v>
      </c>
      <c r="D15" s="63" t="s">
        <v>99</v>
      </c>
      <c r="E15" t="s">
        <v>36</v>
      </c>
      <c r="F15" s="45" t="s">
        <v>38</v>
      </c>
      <c r="G15" s="46" t="s">
        <v>40</v>
      </c>
      <c r="H15" s="86" t="s">
        <v>40</v>
      </c>
      <c r="I15" s="82" t="s">
        <v>40</v>
      </c>
      <c r="J15" s="40"/>
      <c r="K15" s="40">
        <v>20</v>
      </c>
      <c r="L15" s="133"/>
      <c r="M15" s="135"/>
      <c r="N15" s="50">
        <v>1100</v>
      </c>
      <c r="O15" s="9">
        <f>N15 - variables!B$1</f>
        <v>1030</v>
      </c>
      <c r="P15" s="57">
        <v>1180</v>
      </c>
      <c r="Q15" s="138">
        <f>P15 - variables!B$1</f>
        <v>1110</v>
      </c>
      <c r="R15" s="19">
        <v>43740</v>
      </c>
      <c r="S15" s="20">
        <v>0.97638888888888886</v>
      </c>
      <c r="T15" s="19">
        <v>43741</v>
      </c>
      <c r="U15" s="39">
        <v>0.93819444444444444</v>
      </c>
      <c r="V15">
        <v>2</v>
      </c>
      <c r="W15" s="121" t="s">
        <v>40</v>
      </c>
      <c r="X15" s="41"/>
      <c r="Y15" s="41" t="s">
        <v>100</v>
      </c>
      <c r="Z15" s="41"/>
      <c r="AA15" s="44"/>
      <c r="AB15" s="99" t="s">
        <v>31</v>
      </c>
      <c r="AI15" s="52"/>
    </row>
    <row r="16" spans="1:35" x14ac:dyDescent="0.2">
      <c r="A16" s="61" t="s">
        <v>101</v>
      </c>
      <c r="B16" s="62" t="s">
        <v>102</v>
      </c>
      <c r="C16">
        <v>1</v>
      </c>
      <c r="D16" s="63" t="s">
        <v>103</v>
      </c>
      <c r="E16" t="s">
        <v>36</v>
      </c>
      <c r="F16" s="45" t="s">
        <v>38</v>
      </c>
      <c r="G16" s="46" t="s">
        <v>40</v>
      </c>
      <c r="H16" s="86" t="s">
        <v>40</v>
      </c>
      <c r="I16" s="82" t="s">
        <v>40</v>
      </c>
      <c r="J16" s="40"/>
      <c r="K16" s="40">
        <v>16</v>
      </c>
      <c r="L16" s="133"/>
      <c r="M16" s="135"/>
      <c r="N16" s="50">
        <v>1080</v>
      </c>
      <c r="O16" s="9">
        <f>N16 - variables!B$1</f>
        <v>1010</v>
      </c>
      <c r="P16" s="52">
        <v>1120</v>
      </c>
      <c r="Q16" s="138">
        <f>P16 - variables!B$1</f>
        <v>1050</v>
      </c>
      <c r="R16" s="19">
        <v>43741</v>
      </c>
      <c r="S16" s="20">
        <v>9.0277777777777787E-3</v>
      </c>
      <c r="T16" s="19">
        <v>43741</v>
      </c>
      <c r="U16" s="39">
        <v>0.41875000000000001</v>
      </c>
      <c r="V16">
        <v>2</v>
      </c>
      <c r="W16" s="122" t="s">
        <v>40</v>
      </c>
      <c r="X16" s="41"/>
      <c r="Y16" s="41"/>
      <c r="Z16" s="41"/>
      <c r="AA16" s="44"/>
      <c r="AB16" s="99" t="s">
        <v>31</v>
      </c>
      <c r="AI16" s="52"/>
    </row>
    <row r="17" spans="1:35" x14ac:dyDescent="0.2">
      <c r="A17" s="61" t="s">
        <v>101</v>
      </c>
      <c r="B17" s="62" t="s">
        <v>104</v>
      </c>
      <c r="C17">
        <v>1</v>
      </c>
      <c r="D17" s="63" t="s">
        <v>105</v>
      </c>
      <c r="E17" t="s">
        <v>36</v>
      </c>
      <c r="F17" s="45" t="s">
        <v>37</v>
      </c>
      <c r="G17" s="46" t="s">
        <v>40</v>
      </c>
      <c r="H17" s="86" t="s">
        <v>40</v>
      </c>
      <c r="I17" s="82" t="s">
        <v>40</v>
      </c>
      <c r="J17" s="54"/>
      <c r="K17" s="40">
        <v>11</v>
      </c>
      <c r="L17" s="133"/>
      <c r="M17" s="135"/>
      <c r="N17" s="50">
        <v>1020</v>
      </c>
      <c r="O17" s="9">
        <f>N17 - variables!B$1</f>
        <v>950</v>
      </c>
      <c r="P17" s="57">
        <v>1040</v>
      </c>
      <c r="Q17" s="138">
        <f>P17 - variables!B$1</f>
        <v>970</v>
      </c>
      <c r="R17" s="19">
        <v>43741</v>
      </c>
      <c r="S17" s="20">
        <v>0.92708333333333337</v>
      </c>
      <c r="T17" s="19">
        <v>43742</v>
      </c>
      <c r="U17" s="39">
        <v>0.86458333333333337</v>
      </c>
      <c r="V17">
        <v>2</v>
      </c>
      <c r="W17" s="129" t="s">
        <v>40</v>
      </c>
      <c r="X17" s="41"/>
      <c r="Y17" s="41"/>
      <c r="Z17" s="41"/>
      <c r="AA17" s="44"/>
      <c r="AB17" s="99" t="s">
        <v>31</v>
      </c>
      <c r="AI17" s="52"/>
    </row>
    <row r="18" spans="1:35" ht="14" customHeight="1" x14ac:dyDescent="0.2">
      <c r="A18" s="61" t="s">
        <v>97</v>
      </c>
      <c r="B18" s="127" t="s">
        <v>127</v>
      </c>
      <c r="C18">
        <v>1</v>
      </c>
      <c r="D18" s="128" t="s">
        <v>128</v>
      </c>
      <c r="E18" t="s">
        <v>36</v>
      </c>
      <c r="F18" s="45" t="s">
        <v>37</v>
      </c>
      <c r="G18" s="46" t="s">
        <v>40</v>
      </c>
      <c r="H18" s="86" t="s">
        <v>40</v>
      </c>
      <c r="I18" s="82" t="s">
        <v>41</v>
      </c>
      <c r="J18" s="54" t="s">
        <v>124</v>
      </c>
      <c r="K18" s="40">
        <v>3</v>
      </c>
      <c r="L18" s="133"/>
      <c r="M18" s="135"/>
      <c r="N18" s="50">
        <v>1060</v>
      </c>
      <c r="O18" s="9">
        <f>N18 - variables!B$1</f>
        <v>990</v>
      </c>
      <c r="P18" s="57">
        <v>1100</v>
      </c>
      <c r="Q18" s="138">
        <f>P18 - variables!B$1</f>
        <v>1030</v>
      </c>
      <c r="R18" s="19">
        <v>43741</v>
      </c>
      <c r="S18" s="20">
        <v>0.9472222222222223</v>
      </c>
      <c r="T18" s="19">
        <v>43743</v>
      </c>
      <c r="U18" s="39">
        <v>0.89027777777777783</v>
      </c>
      <c r="V18">
        <v>2</v>
      </c>
      <c r="W18" s="129" t="s">
        <v>40</v>
      </c>
      <c r="X18" s="41"/>
      <c r="Y18" s="41"/>
      <c r="Z18" s="41"/>
      <c r="AA18" s="44"/>
      <c r="AB18" s="99" t="s">
        <v>31</v>
      </c>
      <c r="AI18" s="52"/>
    </row>
    <row r="19" spans="1:35" x14ac:dyDescent="0.2">
      <c r="A19" s="61" t="s">
        <v>94</v>
      </c>
      <c r="B19" s="62" t="s">
        <v>106</v>
      </c>
      <c r="C19">
        <v>1</v>
      </c>
      <c r="D19" s="63" t="s">
        <v>107</v>
      </c>
      <c r="E19" t="s">
        <v>36</v>
      </c>
      <c r="F19" s="45" t="s">
        <v>38</v>
      </c>
      <c r="G19" s="46" t="s">
        <v>40</v>
      </c>
      <c r="H19" s="86" t="s">
        <v>40</v>
      </c>
      <c r="I19" s="82" t="s">
        <v>41</v>
      </c>
      <c r="J19" s="54" t="s">
        <v>87</v>
      </c>
      <c r="K19" s="40">
        <v>15</v>
      </c>
      <c r="L19" s="133"/>
      <c r="M19" s="135"/>
      <c r="N19" s="50">
        <v>1200</v>
      </c>
      <c r="O19" s="9">
        <f>N19 - variables!B$1</f>
        <v>1130</v>
      </c>
      <c r="P19" s="57">
        <v>1120</v>
      </c>
      <c r="Q19" s="138">
        <f>P19 - variables!B$1</f>
        <v>1050</v>
      </c>
      <c r="R19" s="19">
        <v>43741</v>
      </c>
      <c r="S19" s="20">
        <v>0.97916666666666663</v>
      </c>
      <c r="T19" s="19">
        <v>43744</v>
      </c>
      <c r="U19" s="39">
        <v>0.78472222222222221</v>
      </c>
      <c r="V19">
        <v>2</v>
      </c>
      <c r="W19" s="121" t="s">
        <v>41</v>
      </c>
      <c r="X19" s="41"/>
      <c r="Y19" s="41"/>
      <c r="Z19" s="41"/>
      <c r="AA19" s="44" t="s">
        <v>125</v>
      </c>
      <c r="AB19" s="99" t="s">
        <v>31</v>
      </c>
      <c r="AI19" s="52"/>
    </row>
    <row r="20" spans="1:35" x14ac:dyDescent="0.2">
      <c r="A20" s="61" t="s">
        <v>88</v>
      </c>
      <c r="B20" s="62" t="s">
        <v>108</v>
      </c>
      <c r="C20">
        <v>1</v>
      </c>
      <c r="D20" s="63" t="s">
        <v>109</v>
      </c>
      <c r="E20" t="s">
        <v>36</v>
      </c>
      <c r="F20" s="45" t="s">
        <v>37</v>
      </c>
      <c r="G20" s="46" t="s">
        <v>40</v>
      </c>
      <c r="H20" s="86" t="s">
        <v>40</v>
      </c>
      <c r="I20" s="82" t="s">
        <v>40</v>
      </c>
      <c r="J20" s="125"/>
      <c r="K20" s="40">
        <v>1</v>
      </c>
      <c r="L20" s="136"/>
      <c r="M20" s="135"/>
      <c r="N20" s="50">
        <v>1200</v>
      </c>
      <c r="O20" s="9">
        <f>N20 - variables!B$1</f>
        <v>1130</v>
      </c>
      <c r="P20" s="57">
        <v>1340</v>
      </c>
      <c r="Q20" s="138">
        <f>P20 - variables!B$1</f>
        <v>1270</v>
      </c>
      <c r="R20" s="19">
        <v>43741</v>
      </c>
      <c r="S20" s="20">
        <v>0.99444444444444446</v>
      </c>
      <c r="T20" s="19">
        <v>43742</v>
      </c>
      <c r="U20" s="39">
        <v>0.87986111111111109</v>
      </c>
      <c r="V20">
        <v>2</v>
      </c>
      <c r="W20" s="121" t="s">
        <v>40</v>
      </c>
      <c r="X20" s="41"/>
      <c r="Y20" s="41"/>
      <c r="Z20" s="41"/>
      <c r="AA20" s="44"/>
      <c r="AB20" s="99" t="s">
        <v>31</v>
      </c>
      <c r="AI20" s="52"/>
    </row>
    <row r="21" spans="1:35" x14ac:dyDescent="0.2">
      <c r="A21" s="61" t="s">
        <v>83</v>
      </c>
      <c r="B21" s="62" t="s">
        <v>110</v>
      </c>
      <c r="C21">
        <v>1</v>
      </c>
      <c r="D21" s="63" t="s">
        <v>111</v>
      </c>
      <c r="E21" t="s">
        <v>36</v>
      </c>
      <c r="F21" s="45" t="s">
        <v>38</v>
      </c>
      <c r="G21" s="46" t="s">
        <v>40</v>
      </c>
      <c r="H21" s="86" t="s">
        <v>40</v>
      </c>
      <c r="I21" s="82" t="s">
        <v>40</v>
      </c>
      <c r="J21" s="40"/>
      <c r="K21" s="40">
        <v>12</v>
      </c>
      <c r="L21" s="133"/>
      <c r="M21" s="135"/>
      <c r="N21" s="50">
        <v>1100</v>
      </c>
      <c r="O21" s="9">
        <f>N21 - variables!B$1</f>
        <v>1030</v>
      </c>
      <c r="P21" s="57">
        <v>1320</v>
      </c>
      <c r="Q21" s="138">
        <f>P21 - variables!B$1</f>
        <v>1250</v>
      </c>
      <c r="R21" s="19">
        <v>43742</v>
      </c>
      <c r="S21" s="20">
        <v>1.0416666666666666E-2</v>
      </c>
      <c r="T21" s="19">
        <v>43742</v>
      </c>
      <c r="U21" s="39">
        <v>0.7944444444444444</v>
      </c>
      <c r="V21">
        <v>2</v>
      </c>
      <c r="W21" s="121" t="s">
        <v>40</v>
      </c>
      <c r="X21" s="41"/>
      <c r="Y21" s="41"/>
      <c r="Z21" s="41" t="s">
        <v>113</v>
      </c>
      <c r="AA21" s="44" t="s">
        <v>112</v>
      </c>
      <c r="AB21" s="99" t="s">
        <v>31</v>
      </c>
      <c r="AI21" s="52"/>
    </row>
    <row r="22" spans="1:35" x14ac:dyDescent="0.2">
      <c r="A22" s="61" t="s">
        <v>101</v>
      </c>
      <c r="B22" s="127" t="s">
        <v>102</v>
      </c>
      <c r="C22">
        <v>2</v>
      </c>
      <c r="D22" s="128" t="s">
        <v>114</v>
      </c>
      <c r="E22" t="s">
        <v>36</v>
      </c>
      <c r="F22" s="45" t="s">
        <v>38</v>
      </c>
      <c r="G22" s="46" t="s">
        <v>40</v>
      </c>
      <c r="H22" s="86" t="s">
        <v>40</v>
      </c>
      <c r="I22" s="82" t="s">
        <v>40</v>
      </c>
      <c r="J22" s="40"/>
      <c r="K22" s="40">
        <v>20</v>
      </c>
      <c r="L22" s="133"/>
      <c r="M22" s="135"/>
      <c r="N22" s="50">
        <v>1060</v>
      </c>
      <c r="O22" s="9">
        <f>N22 - variables!B$1</f>
        <v>990</v>
      </c>
      <c r="P22" s="57">
        <v>1080</v>
      </c>
      <c r="Q22" s="138">
        <f>P22 - variables!B$1</f>
        <v>1010</v>
      </c>
      <c r="R22" s="19">
        <v>43742</v>
      </c>
      <c r="S22" s="20">
        <v>0.87083333333333324</v>
      </c>
      <c r="T22" s="19">
        <v>43743</v>
      </c>
      <c r="U22" s="39">
        <v>0.88194444444444453</v>
      </c>
      <c r="V22">
        <v>2</v>
      </c>
      <c r="W22" s="121" t="s">
        <v>116</v>
      </c>
      <c r="X22" s="41"/>
      <c r="Y22" s="41" t="s">
        <v>117</v>
      </c>
      <c r="Z22" s="41"/>
      <c r="AA22" s="44"/>
      <c r="AB22" s="99" t="s">
        <v>31</v>
      </c>
      <c r="AI22" s="52"/>
    </row>
    <row r="23" spans="1:35" x14ac:dyDescent="0.2">
      <c r="A23" s="61" t="s">
        <v>88</v>
      </c>
      <c r="B23" s="127" t="s">
        <v>89</v>
      </c>
      <c r="C23">
        <v>2</v>
      </c>
      <c r="D23" s="128" t="s">
        <v>118</v>
      </c>
      <c r="E23" t="s">
        <v>36</v>
      </c>
      <c r="F23" s="45" t="s">
        <v>38</v>
      </c>
      <c r="G23" s="46" t="s">
        <v>40</v>
      </c>
      <c r="H23" s="86" t="s">
        <v>40</v>
      </c>
      <c r="I23" s="82" t="s">
        <v>40</v>
      </c>
      <c r="J23" s="40"/>
      <c r="K23" s="40">
        <v>22</v>
      </c>
      <c r="L23" s="133"/>
      <c r="M23" s="135"/>
      <c r="N23" s="50">
        <v>1180</v>
      </c>
      <c r="O23" s="9">
        <f>N23 - variables!B$1</f>
        <v>1110</v>
      </c>
      <c r="P23" s="57">
        <v>1200</v>
      </c>
      <c r="Q23" s="138">
        <f>P23 - variables!B$1</f>
        <v>1130</v>
      </c>
      <c r="R23" s="19">
        <v>43742</v>
      </c>
      <c r="S23" s="20">
        <v>0.88611111111111107</v>
      </c>
      <c r="T23" s="19">
        <v>43743</v>
      </c>
      <c r="U23" s="39">
        <v>0.89861111111111114</v>
      </c>
      <c r="V23">
        <v>2</v>
      </c>
      <c r="W23" s="129" t="s">
        <v>40</v>
      </c>
      <c r="X23" s="41"/>
      <c r="Y23" s="41"/>
      <c r="Z23" s="41" t="s">
        <v>119</v>
      </c>
      <c r="AA23" s="44"/>
      <c r="AB23" s="99" t="s">
        <v>31</v>
      </c>
      <c r="AI23" s="52"/>
    </row>
    <row r="24" spans="1:35" x14ac:dyDescent="0.2">
      <c r="A24" s="61" t="s">
        <v>97</v>
      </c>
      <c r="B24" s="127" t="s">
        <v>127</v>
      </c>
      <c r="C24">
        <v>2</v>
      </c>
      <c r="D24" s="128" t="s">
        <v>129</v>
      </c>
      <c r="E24" t="s">
        <v>36</v>
      </c>
      <c r="F24" s="45" t="s">
        <v>37</v>
      </c>
      <c r="G24" s="46" t="s">
        <v>40</v>
      </c>
      <c r="H24" s="86" t="s">
        <v>40</v>
      </c>
      <c r="I24" s="82" t="s">
        <v>40</v>
      </c>
      <c r="J24" s="40"/>
      <c r="K24" s="40">
        <v>16</v>
      </c>
      <c r="L24" s="133"/>
      <c r="M24" s="135"/>
      <c r="N24" s="50">
        <v>1000</v>
      </c>
      <c r="O24" s="9">
        <f>N24 - variables!B$1</f>
        <v>930</v>
      </c>
      <c r="P24" s="57">
        <v>1020</v>
      </c>
      <c r="Q24" s="138">
        <f>P24 - variables!B$1</f>
        <v>950</v>
      </c>
      <c r="R24" s="19">
        <v>43744</v>
      </c>
      <c r="S24" s="20">
        <v>0.94374999999999998</v>
      </c>
      <c r="T24" s="19">
        <v>43745</v>
      </c>
      <c r="U24" s="39">
        <v>0.9770833333333333</v>
      </c>
      <c r="V24">
        <v>2</v>
      </c>
      <c r="W24" s="129" t="s">
        <v>116</v>
      </c>
      <c r="X24" s="41"/>
      <c r="Y24" s="41"/>
      <c r="Z24" s="41"/>
      <c r="AA24" s="44" t="s">
        <v>132</v>
      </c>
      <c r="AB24" s="99" t="s">
        <v>31</v>
      </c>
      <c r="AI24" s="52"/>
    </row>
    <row r="25" spans="1:35" x14ac:dyDescent="0.2">
      <c r="A25" s="61" t="s">
        <v>88</v>
      </c>
      <c r="B25" s="127" t="s">
        <v>89</v>
      </c>
      <c r="C25">
        <v>3</v>
      </c>
      <c r="D25" s="128" t="s">
        <v>126</v>
      </c>
      <c r="E25" t="s">
        <v>36</v>
      </c>
      <c r="F25" s="45" t="s">
        <v>38</v>
      </c>
      <c r="G25" s="46" t="s">
        <v>40</v>
      </c>
      <c r="H25" s="86" t="s">
        <v>40</v>
      </c>
      <c r="I25" s="82" t="s">
        <v>40</v>
      </c>
      <c r="J25" s="40"/>
      <c r="K25" s="140">
        <v>18</v>
      </c>
      <c r="L25" s="133"/>
      <c r="M25" s="135"/>
      <c r="N25" s="50">
        <v>1160</v>
      </c>
      <c r="O25" s="9">
        <f>N25 - variables!B$1</f>
        <v>1090</v>
      </c>
      <c r="P25" s="57">
        <v>1180</v>
      </c>
      <c r="Q25" s="138">
        <f>P25 - variables!B$1</f>
        <v>1110</v>
      </c>
      <c r="R25" s="19">
        <v>43744</v>
      </c>
      <c r="S25" s="20">
        <v>0.93333333333333324</v>
      </c>
      <c r="T25" s="19">
        <v>43745</v>
      </c>
      <c r="U25" s="39">
        <v>0.99652777777777779</v>
      </c>
      <c r="V25">
        <v>2</v>
      </c>
      <c r="W25" s="121" t="s">
        <v>116</v>
      </c>
      <c r="X25" s="41"/>
      <c r="Y25" s="41"/>
      <c r="Z25" s="41"/>
      <c r="AA25" s="44" t="s">
        <v>132</v>
      </c>
      <c r="AB25" s="99" t="s">
        <v>31</v>
      </c>
      <c r="AI25" s="52"/>
    </row>
    <row r="26" spans="1:35" x14ac:dyDescent="0.2">
      <c r="A26" s="61" t="s">
        <v>97</v>
      </c>
      <c r="B26" s="127" t="s">
        <v>98</v>
      </c>
      <c r="C26">
        <v>2</v>
      </c>
      <c r="D26" s="128" t="s">
        <v>130</v>
      </c>
      <c r="E26" t="s">
        <v>36</v>
      </c>
      <c r="F26" s="45" t="s">
        <v>38</v>
      </c>
      <c r="G26" s="46" t="s">
        <v>40</v>
      </c>
      <c r="H26" s="86" t="s">
        <v>40</v>
      </c>
      <c r="I26" s="82" t="s">
        <v>40</v>
      </c>
      <c r="J26" s="40"/>
      <c r="K26" s="40">
        <v>20</v>
      </c>
      <c r="L26" s="133"/>
      <c r="M26" s="135"/>
      <c r="N26" s="50">
        <v>1100</v>
      </c>
      <c r="O26" s="9">
        <f>N26 - variables!B$1</f>
        <v>1030</v>
      </c>
      <c r="P26" s="57">
        <v>1100</v>
      </c>
      <c r="Q26" s="138">
        <f>P26 - variables!B$1</f>
        <v>1030</v>
      </c>
      <c r="R26" s="132">
        <v>43745</v>
      </c>
      <c r="S26" s="20">
        <v>0.98263888888888884</v>
      </c>
      <c r="T26" s="19">
        <v>43746</v>
      </c>
      <c r="U26" s="39">
        <v>0.96180555555555547</v>
      </c>
      <c r="V26">
        <v>2</v>
      </c>
      <c r="W26" s="129" t="s">
        <v>116</v>
      </c>
      <c r="X26" s="41"/>
      <c r="Y26" s="41"/>
      <c r="Z26" s="41"/>
      <c r="AA26" s="44"/>
      <c r="AB26" s="99" t="s">
        <v>31</v>
      </c>
      <c r="AI26" s="52"/>
    </row>
    <row r="27" spans="1:35" x14ac:dyDescent="0.2">
      <c r="A27" s="61" t="s">
        <v>88</v>
      </c>
      <c r="B27" s="127" t="s">
        <v>108</v>
      </c>
      <c r="C27">
        <v>2</v>
      </c>
      <c r="D27" s="128" t="s">
        <v>131</v>
      </c>
      <c r="E27" t="s">
        <v>36</v>
      </c>
      <c r="F27" s="45" t="s">
        <v>37</v>
      </c>
      <c r="G27" s="46" t="s">
        <v>40</v>
      </c>
      <c r="H27" s="86" t="s">
        <v>40</v>
      </c>
      <c r="I27" s="82" t="s">
        <v>40</v>
      </c>
      <c r="J27" s="40"/>
      <c r="K27" s="40">
        <v>17</v>
      </c>
      <c r="L27" s="133"/>
      <c r="M27" s="135"/>
      <c r="N27" s="50">
        <v>1180</v>
      </c>
      <c r="O27" s="9">
        <f>N27 - variables!B$1</f>
        <v>1110</v>
      </c>
      <c r="P27" s="57">
        <v>1180</v>
      </c>
      <c r="Q27" s="138">
        <f>P27 - variables!B$1</f>
        <v>1110</v>
      </c>
      <c r="R27" s="19">
        <v>43745</v>
      </c>
      <c r="S27" s="20">
        <v>0.99930555555555556</v>
      </c>
      <c r="T27" s="19">
        <v>43746</v>
      </c>
      <c r="U27" s="39">
        <v>0.9472222222222223</v>
      </c>
      <c r="V27">
        <v>2</v>
      </c>
      <c r="W27" s="121" t="s">
        <v>116</v>
      </c>
      <c r="X27" s="41"/>
      <c r="Y27" s="41"/>
      <c r="Z27" s="41"/>
      <c r="AA27" s="44"/>
      <c r="AB27" s="99" t="s">
        <v>31</v>
      </c>
      <c r="AI27" s="52"/>
    </row>
    <row r="28" spans="1:35" x14ac:dyDescent="0.2">
      <c r="A28" s="61" t="s">
        <v>97</v>
      </c>
      <c r="B28" s="62" t="s">
        <v>127</v>
      </c>
      <c r="C28">
        <v>3</v>
      </c>
      <c r="D28" s="63" t="s">
        <v>133</v>
      </c>
      <c r="E28" t="s">
        <v>36</v>
      </c>
      <c r="F28" s="45" t="s">
        <v>37</v>
      </c>
      <c r="G28" s="46" t="s">
        <v>40</v>
      </c>
      <c r="H28" s="86" t="s">
        <v>40</v>
      </c>
      <c r="I28" s="82" t="s">
        <v>40</v>
      </c>
      <c r="J28" s="125"/>
      <c r="K28" s="40">
        <v>13</v>
      </c>
      <c r="L28" s="133"/>
      <c r="M28" s="135"/>
      <c r="N28" s="35">
        <v>980</v>
      </c>
      <c r="O28" s="9">
        <f>N28 - variables!B$1</f>
        <v>910</v>
      </c>
      <c r="P28" s="52">
        <v>1000</v>
      </c>
      <c r="Q28" s="138">
        <f>P28 - variables!B$1</f>
        <v>930</v>
      </c>
      <c r="R28" s="19">
        <v>43746</v>
      </c>
      <c r="S28" s="20">
        <v>0.96736111111111101</v>
      </c>
      <c r="T28" s="19">
        <v>43746</v>
      </c>
      <c r="U28" s="39">
        <v>0.91666666666666663</v>
      </c>
      <c r="V28">
        <v>2</v>
      </c>
      <c r="W28" s="122" t="s">
        <v>116</v>
      </c>
      <c r="X28" s="41"/>
      <c r="Y28" s="41"/>
      <c r="Z28" s="41"/>
      <c r="AA28" s="44"/>
      <c r="AB28" s="99" t="s">
        <v>31</v>
      </c>
      <c r="AI28" s="52"/>
    </row>
    <row r="29" spans="1:35" x14ac:dyDescent="0.2">
      <c r="A29" s="61" t="s">
        <v>88</v>
      </c>
      <c r="B29" s="62" t="s">
        <v>89</v>
      </c>
      <c r="C29">
        <v>4</v>
      </c>
      <c r="D29" s="63" t="s">
        <v>134</v>
      </c>
      <c r="E29" t="s">
        <v>36</v>
      </c>
      <c r="F29" s="45" t="s">
        <v>38</v>
      </c>
      <c r="G29" s="46" t="s">
        <v>40</v>
      </c>
      <c r="H29" s="86" t="s">
        <v>40</v>
      </c>
      <c r="I29" s="82" t="s">
        <v>40</v>
      </c>
      <c r="J29" s="125"/>
      <c r="K29" s="40">
        <v>12</v>
      </c>
      <c r="L29" s="133"/>
      <c r="M29" s="135"/>
      <c r="N29" s="35">
        <v>1140</v>
      </c>
      <c r="O29" s="9">
        <f>N29 - variables!B$1</f>
        <v>1070</v>
      </c>
      <c r="P29" s="87">
        <v>1140</v>
      </c>
      <c r="Q29" s="138">
        <f>P29 - variables!B$1</f>
        <v>1070</v>
      </c>
      <c r="R29" s="19">
        <v>43746</v>
      </c>
      <c r="S29" s="20">
        <v>0.95416666666666661</v>
      </c>
      <c r="T29" s="19">
        <v>43746</v>
      </c>
      <c r="U29" s="39">
        <v>0.9277777777777777</v>
      </c>
      <c r="V29">
        <v>2</v>
      </c>
      <c r="W29" s="122" t="s">
        <v>116</v>
      </c>
      <c r="X29" s="41"/>
      <c r="Y29" s="41"/>
      <c r="Z29" s="41"/>
      <c r="AA29" s="44"/>
      <c r="AB29" s="99" t="s">
        <v>31</v>
      </c>
      <c r="AI29" s="52"/>
    </row>
    <row r="30" spans="1:35" x14ac:dyDescent="0.2">
      <c r="A30" s="61" t="s">
        <v>97</v>
      </c>
      <c r="B30" s="62" t="s">
        <v>98</v>
      </c>
      <c r="C30">
        <v>3</v>
      </c>
      <c r="D30" s="63" t="s">
        <v>135</v>
      </c>
      <c r="E30" t="s">
        <v>36</v>
      </c>
      <c r="F30" s="45" t="s">
        <v>38</v>
      </c>
      <c r="G30" s="46" t="s">
        <v>40</v>
      </c>
      <c r="H30" s="86" t="s">
        <v>40</v>
      </c>
      <c r="I30" s="82" t="s">
        <v>40</v>
      </c>
      <c r="J30" s="40"/>
      <c r="K30" s="40">
        <v>20</v>
      </c>
      <c r="L30" s="133"/>
      <c r="M30" s="135"/>
      <c r="N30" s="35">
        <v>1040</v>
      </c>
      <c r="O30" s="9">
        <f>N30 - variables!B$1</f>
        <v>970</v>
      </c>
      <c r="P30" s="87" t="s">
        <v>115</v>
      </c>
      <c r="Q30" s="139" t="s">
        <v>115</v>
      </c>
      <c r="R30" s="19">
        <v>43753</v>
      </c>
      <c r="S30" s="20">
        <v>0.95000000000000007</v>
      </c>
      <c r="T30" s="19">
        <v>43758</v>
      </c>
      <c r="U30" s="39">
        <v>9.0277777777777776E-2</v>
      </c>
      <c r="V30">
        <v>2</v>
      </c>
      <c r="W30" s="122" t="s">
        <v>116</v>
      </c>
      <c r="X30" s="41"/>
      <c r="Y30" s="41"/>
      <c r="Z30" s="41" t="s">
        <v>158</v>
      </c>
      <c r="AA30" s="44"/>
      <c r="AB30" s="100" t="s">
        <v>31</v>
      </c>
      <c r="AI30" s="52"/>
    </row>
    <row r="31" spans="1:35" x14ac:dyDescent="0.2">
      <c r="A31" s="61" t="s">
        <v>136</v>
      </c>
      <c r="B31" s="62" t="s">
        <v>137</v>
      </c>
      <c r="C31">
        <v>1</v>
      </c>
      <c r="D31" s="63" t="s">
        <v>138</v>
      </c>
      <c r="E31" t="s">
        <v>36</v>
      </c>
      <c r="F31" s="45" t="s">
        <v>38</v>
      </c>
      <c r="G31" s="46" t="s">
        <v>40</v>
      </c>
      <c r="H31" s="86" t="s">
        <v>40</v>
      </c>
      <c r="I31" s="82" t="s">
        <v>40</v>
      </c>
      <c r="J31" s="40"/>
      <c r="K31" s="140">
        <v>18</v>
      </c>
      <c r="L31" s="133"/>
      <c r="M31" s="135"/>
      <c r="N31" s="35">
        <v>1140</v>
      </c>
      <c r="O31" s="9">
        <f>N31 - variables!B$1</f>
        <v>1070</v>
      </c>
      <c r="P31" s="87">
        <v>1120</v>
      </c>
      <c r="Q31" s="138">
        <f>P31 - variables!B$1</f>
        <v>1050</v>
      </c>
      <c r="R31" s="19">
        <v>43753</v>
      </c>
      <c r="S31" s="20">
        <v>0.97152777777777777</v>
      </c>
      <c r="T31" s="19">
        <v>43754</v>
      </c>
      <c r="U31" s="39">
        <v>0.97291666666666676</v>
      </c>
      <c r="V31">
        <v>1</v>
      </c>
      <c r="W31" s="122" t="s">
        <v>40</v>
      </c>
      <c r="X31" s="41"/>
      <c r="Y31" s="41"/>
      <c r="Z31" s="41"/>
      <c r="AA31" s="44"/>
      <c r="AB31" s="100" t="s">
        <v>31</v>
      </c>
      <c r="AI31" s="52"/>
    </row>
    <row r="32" spans="1:35" x14ac:dyDescent="0.2">
      <c r="A32" s="61" t="s">
        <v>88</v>
      </c>
      <c r="B32" s="62" t="s">
        <v>89</v>
      </c>
      <c r="C32">
        <v>5</v>
      </c>
      <c r="D32" s="63" t="s">
        <v>139</v>
      </c>
      <c r="E32" t="s">
        <v>36</v>
      </c>
      <c r="F32" s="45" t="s">
        <v>38</v>
      </c>
      <c r="G32" s="46" t="s">
        <v>40</v>
      </c>
      <c r="H32" s="86" t="s">
        <v>40</v>
      </c>
      <c r="I32" s="82" t="s">
        <v>40</v>
      </c>
      <c r="J32" s="40"/>
      <c r="K32" s="40">
        <v>16</v>
      </c>
      <c r="L32" s="137"/>
      <c r="M32" s="135"/>
      <c r="N32" s="35">
        <v>1040</v>
      </c>
      <c r="O32" s="9">
        <f>N32 - variables!B$1</f>
        <v>970</v>
      </c>
      <c r="P32" s="87">
        <v>1040</v>
      </c>
      <c r="Q32" s="138">
        <f>P32 - variables!B$1</f>
        <v>970</v>
      </c>
      <c r="R32" s="19">
        <v>43753</v>
      </c>
      <c r="S32" s="20">
        <v>0.96180555555555547</v>
      </c>
      <c r="T32" s="19">
        <v>43754</v>
      </c>
      <c r="U32" s="39">
        <v>0.98541666666666661</v>
      </c>
      <c r="V32">
        <v>2</v>
      </c>
      <c r="W32" s="122" t="s">
        <v>116</v>
      </c>
      <c r="X32" s="41"/>
      <c r="Y32" s="41"/>
      <c r="Z32" s="41"/>
      <c r="AA32" s="42"/>
      <c r="AB32" s="99" t="s">
        <v>31</v>
      </c>
      <c r="AI32" s="52"/>
    </row>
    <row r="33" spans="1:35" x14ac:dyDescent="0.2">
      <c r="A33" s="61" t="s">
        <v>140</v>
      </c>
      <c r="B33" s="62" t="s">
        <v>141</v>
      </c>
      <c r="C33">
        <v>1</v>
      </c>
      <c r="D33" s="63" t="s">
        <v>142</v>
      </c>
      <c r="E33" t="s">
        <v>36</v>
      </c>
      <c r="F33" s="121" t="s">
        <v>37</v>
      </c>
      <c r="G33" s="46" t="s">
        <v>40</v>
      </c>
      <c r="H33" s="86" t="s">
        <v>40</v>
      </c>
      <c r="I33" s="82" t="s">
        <v>40</v>
      </c>
      <c r="J33" s="40"/>
      <c r="K33" s="40">
        <v>17</v>
      </c>
      <c r="L33" s="133"/>
      <c r="M33" s="135"/>
      <c r="N33" s="35">
        <v>1000</v>
      </c>
      <c r="O33" s="9">
        <f>N33 - variables!B$1</f>
        <v>930</v>
      </c>
      <c r="P33" s="52">
        <v>1040</v>
      </c>
      <c r="Q33" s="138">
        <f>P33 - variables!B$1</f>
        <v>970</v>
      </c>
      <c r="R33" s="19">
        <v>43753</v>
      </c>
      <c r="S33" s="20">
        <v>0.96180555555555547</v>
      </c>
      <c r="T33" s="19">
        <v>43755</v>
      </c>
      <c r="U33" s="39">
        <v>6.9444444444444447E-4</v>
      </c>
      <c r="V33">
        <v>2</v>
      </c>
      <c r="W33" s="121" t="s">
        <v>40</v>
      </c>
      <c r="X33" s="41"/>
      <c r="Y33" s="41"/>
      <c r="Z33" s="41"/>
      <c r="AA33" s="42"/>
      <c r="AB33" s="100" t="s">
        <v>31</v>
      </c>
      <c r="AI33" s="52"/>
    </row>
    <row r="34" spans="1:35" x14ac:dyDescent="0.2">
      <c r="A34" s="61" t="s">
        <v>136</v>
      </c>
      <c r="B34" s="62" t="s">
        <v>143</v>
      </c>
      <c r="C34">
        <v>1</v>
      </c>
      <c r="D34" s="63" t="s">
        <v>144</v>
      </c>
      <c r="E34" t="s">
        <v>36</v>
      </c>
      <c r="F34" s="45" t="s">
        <v>37</v>
      </c>
      <c r="G34" s="46" t="s">
        <v>40</v>
      </c>
      <c r="H34" s="86" t="s">
        <v>40</v>
      </c>
      <c r="I34" s="82" t="s">
        <v>40</v>
      </c>
      <c r="J34" s="40"/>
      <c r="K34" s="40">
        <v>12</v>
      </c>
      <c r="L34" s="133"/>
      <c r="M34" s="135"/>
      <c r="N34" s="35">
        <v>1040</v>
      </c>
      <c r="O34" s="9">
        <f>N34 - variables!B$1</f>
        <v>970</v>
      </c>
      <c r="P34" s="52">
        <v>1200</v>
      </c>
      <c r="Q34" s="138">
        <f>P34 - variables!B$1</f>
        <v>1130</v>
      </c>
      <c r="R34" s="19">
        <v>43754</v>
      </c>
      <c r="S34" s="20">
        <v>0.98055555555555562</v>
      </c>
      <c r="T34" s="19">
        <v>43756</v>
      </c>
      <c r="U34" s="39">
        <v>3.6805555555555557E-2</v>
      </c>
      <c r="V34">
        <v>1</v>
      </c>
      <c r="W34" s="121" t="s">
        <v>40</v>
      </c>
      <c r="X34" s="41"/>
      <c r="Y34" s="41" t="s">
        <v>150</v>
      </c>
      <c r="Z34" s="41"/>
      <c r="AA34" s="42"/>
      <c r="AB34" s="100" t="s">
        <v>31</v>
      </c>
      <c r="AI34" s="52"/>
    </row>
    <row r="35" spans="1:35" x14ac:dyDescent="0.2">
      <c r="A35" s="61" t="s">
        <v>88</v>
      </c>
      <c r="B35" s="62" t="s">
        <v>108</v>
      </c>
      <c r="C35">
        <v>3</v>
      </c>
      <c r="D35" s="63" t="s">
        <v>145</v>
      </c>
      <c r="E35" t="s">
        <v>36</v>
      </c>
      <c r="F35" s="45" t="s">
        <v>37</v>
      </c>
      <c r="G35" s="46" t="s">
        <v>40</v>
      </c>
      <c r="H35" s="86" t="s">
        <v>40</v>
      </c>
      <c r="I35" s="82" t="s">
        <v>40</v>
      </c>
      <c r="J35" s="40"/>
      <c r="K35" s="40">
        <v>13</v>
      </c>
      <c r="L35" s="133"/>
      <c r="M35" s="135"/>
      <c r="N35" s="35">
        <v>1120</v>
      </c>
      <c r="O35" s="9">
        <f>N35 - variables!B$1</f>
        <v>1050</v>
      </c>
      <c r="P35" s="52">
        <v>1180</v>
      </c>
      <c r="Q35" s="138">
        <f>P35 - variables!B$1</f>
        <v>1110</v>
      </c>
      <c r="R35" s="19">
        <v>43754</v>
      </c>
      <c r="S35" s="20">
        <v>0.99236111111111114</v>
      </c>
      <c r="T35" s="19">
        <v>43756</v>
      </c>
      <c r="U35" s="39">
        <v>0.98125000000000007</v>
      </c>
      <c r="V35">
        <v>2</v>
      </c>
      <c r="W35" s="122" t="s">
        <v>116</v>
      </c>
      <c r="X35" s="41"/>
      <c r="Y35" s="41"/>
      <c r="Z35" s="41"/>
      <c r="AA35" s="42"/>
      <c r="AB35" s="100" t="s">
        <v>31</v>
      </c>
      <c r="AI35" s="52"/>
    </row>
    <row r="36" spans="1:35" x14ac:dyDescent="0.2">
      <c r="A36" s="61" t="s">
        <v>140</v>
      </c>
      <c r="B36" s="62" t="s">
        <v>146</v>
      </c>
      <c r="C36">
        <v>1</v>
      </c>
      <c r="D36" s="63" t="s">
        <v>147</v>
      </c>
      <c r="E36" t="s">
        <v>36</v>
      </c>
      <c r="F36" s="45" t="s">
        <v>38</v>
      </c>
      <c r="G36" s="46" t="s">
        <v>40</v>
      </c>
      <c r="H36" s="86" t="s">
        <v>40</v>
      </c>
      <c r="I36" s="82" t="s">
        <v>40</v>
      </c>
      <c r="J36" s="40"/>
      <c r="K36" s="40">
        <v>15</v>
      </c>
      <c r="L36" s="133"/>
      <c r="M36" s="135"/>
      <c r="N36" s="35">
        <v>1140</v>
      </c>
      <c r="O36" s="9">
        <f>N36 - variables!B$1</f>
        <v>1070</v>
      </c>
      <c r="P36" s="52">
        <v>1180</v>
      </c>
      <c r="Q36" s="138">
        <f>P36 - variables!B$1</f>
        <v>1110</v>
      </c>
      <c r="R36" s="19">
        <v>43755</v>
      </c>
      <c r="S36" s="20">
        <v>6.9444444444444441E-3</v>
      </c>
      <c r="T36" s="19">
        <v>43755</v>
      </c>
      <c r="U36" s="39">
        <v>0.96319444444444446</v>
      </c>
      <c r="V36">
        <v>1</v>
      </c>
      <c r="W36" s="121" t="s">
        <v>40</v>
      </c>
      <c r="X36" s="41"/>
      <c r="Y36" s="41"/>
      <c r="Z36" s="41"/>
      <c r="AA36" s="42"/>
      <c r="AB36" s="100" t="s">
        <v>31</v>
      </c>
      <c r="AI36" s="52"/>
    </row>
    <row r="37" spans="1:35" x14ac:dyDescent="0.2">
      <c r="A37" s="61" t="s">
        <v>136</v>
      </c>
      <c r="B37" s="62" t="s">
        <v>137</v>
      </c>
      <c r="C37">
        <v>2</v>
      </c>
      <c r="D37" s="63" t="s">
        <v>148</v>
      </c>
      <c r="E37" t="s">
        <v>36</v>
      </c>
      <c r="F37" s="45" t="s">
        <v>38</v>
      </c>
      <c r="G37" s="46" t="s">
        <v>40</v>
      </c>
      <c r="H37" s="86" t="s">
        <v>40</v>
      </c>
      <c r="I37" s="82" t="s">
        <v>41</v>
      </c>
      <c r="J37" s="54" t="s">
        <v>87</v>
      </c>
      <c r="K37" s="140">
        <v>18</v>
      </c>
      <c r="L37" s="133"/>
      <c r="M37" s="134"/>
      <c r="N37" s="35">
        <v>1080</v>
      </c>
      <c r="O37" s="9">
        <f>N37 - variables!B$1</f>
        <v>1010</v>
      </c>
      <c r="P37" s="52">
        <v>1040</v>
      </c>
      <c r="Q37" s="138">
        <f>P37 - variables!B$1</f>
        <v>970</v>
      </c>
      <c r="R37" s="19">
        <v>43756</v>
      </c>
      <c r="S37" s="20">
        <v>4.2361111111111106E-2</v>
      </c>
      <c r="T37" s="19">
        <v>43756</v>
      </c>
      <c r="U37" s="39">
        <v>0.97569444444444453</v>
      </c>
      <c r="W37" s="122" t="s">
        <v>116</v>
      </c>
      <c r="X37" s="41"/>
      <c r="Y37" s="41"/>
      <c r="Z37" s="41"/>
      <c r="AA37" s="42"/>
      <c r="AB37" s="100" t="s">
        <v>31</v>
      </c>
      <c r="AI37" s="52"/>
    </row>
    <row r="38" spans="1:35" x14ac:dyDescent="0.2">
      <c r="A38" s="61" t="s">
        <v>140</v>
      </c>
      <c r="B38" s="62" t="s">
        <v>141</v>
      </c>
      <c r="C38">
        <v>2</v>
      </c>
      <c r="D38" s="63" t="s">
        <v>149</v>
      </c>
      <c r="E38" t="s">
        <v>36</v>
      </c>
      <c r="F38" s="45" t="s">
        <v>37</v>
      </c>
      <c r="G38" s="46" t="s">
        <v>40</v>
      </c>
      <c r="H38" s="86" t="s">
        <v>40</v>
      </c>
      <c r="I38" s="82" t="s">
        <v>40</v>
      </c>
      <c r="J38" s="40"/>
      <c r="K38" s="40">
        <v>16</v>
      </c>
      <c r="L38" s="133"/>
      <c r="M38" s="134"/>
      <c r="N38" s="35">
        <v>960</v>
      </c>
      <c r="O38" s="9">
        <f>N38 - variables!B$1</f>
        <v>890</v>
      </c>
      <c r="P38" s="52">
        <v>980</v>
      </c>
      <c r="Q38" s="138">
        <f>P38 - variables!B$1</f>
        <v>910</v>
      </c>
      <c r="R38" s="19">
        <v>43755</v>
      </c>
      <c r="S38" s="20">
        <v>0.96875</v>
      </c>
      <c r="T38" s="19">
        <v>43756</v>
      </c>
      <c r="U38" s="39">
        <v>0.96944444444444444</v>
      </c>
      <c r="V38">
        <v>1</v>
      </c>
      <c r="W38" s="122" t="s">
        <v>116</v>
      </c>
      <c r="X38" s="41"/>
      <c r="Y38" s="41"/>
      <c r="Z38" s="41"/>
      <c r="AA38" s="42" t="s">
        <v>151</v>
      </c>
      <c r="AB38" s="99" t="s">
        <v>31</v>
      </c>
      <c r="AI38" s="52"/>
    </row>
    <row r="39" spans="1:35" x14ac:dyDescent="0.2">
      <c r="A39" s="61" t="s">
        <v>136</v>
      </c>
      <c r="B39" s="62" t="s">
        <v>137</v>
      </c>
      <c r="C39">
        <v>3</v>
      </c>
      <c r="D39" s="63" t="s">
        <v>159</v>
      </c>
      <c r="E39" t="s">
        <v>36</v>
      </c>
      <c r="F39" s="45" t="s">
        <v>38</v>
      </c>
      <c r="G39" s="46" t="s">
        <v>40</v>
      </c>
      <c r="H39" s="86" t="s">
        <v>40</v>
      </c>
      <c r="I39" s="82" t="s">
        <v>40</v>
      </c>
      <c r="J39" s="40"/>
      <c r="K39" s="140">
        <v>18</v>
      </c>
      <c r="L39" s="54" t="s">
        <v>40</v>
      </c>
      <c r="M39" s="40" t="s">
        <v>160</v>
      </c>
      <c r="N39" s="35">
        <v>1040</v>
      </c>
      <c r="O39" s="9">
        <f>N39 - variables!B$1</f>
        <v>970</v>
      </c>
      <c r="P39" s="52">
        <v>1160</v>
      </c>
      <c r="Q39" s="138">
        <f>P39 - variables!B$1</f>
        <v>1090</v>
      </c>
      <c r="R39" s="19">
        <v>43759</v>
      </c>
      <c r="S39" s="20">
        <v>0.98541666666666661</v>
      </c>
      <c r="T39" s="19">
        <v>43760</v>
      </c>
      <c r="U39" s="39">
        <v>0.95972222222222225</v>
      </c>
      <c r="V39">
        <v>1</v>
      </c>
      <c r="W39" s="121" t="s">
        <v>116</v>
      </c>
      <c r="X39" s="41"/>
      <c r="Y39" s="41" t="s">
        <v>161</v>
      </c>
      <c r="Z39" s="41"/>
      <c r="AA39" s="42" t="s">
        <v>162</v>
      </c>
      <c r="AB39" s="99" t="s">
        <v>31</v>
      </c>
      <c r="AI39" s="52"/>
    </row>
    <row r="40" spans="1:35" x14ac:dyDescent="0.2">
      <c r="A40" s="61" t="s">
        <v>163</v>
      </c>
      <c r="B40" s="62" t="s">
        <v>164</v>
      </c>
      <c r="C40">
        <v>1</v>
      </c>
      <c r="D40" s="63" t="s">
        <v>165</v>
      </c>
      <c r="E40" t="s">
        <v>36</v>
      </c>
      <c r="F40" s="45" t="s">
        <v>38</v>
      </c>
      <c r="G40" s="46" t="s">
        <v>40</v>
      </c>
      <c r="H40" s="86" t="s">
        <v>40</v>
      </c>
      <c r="I40" s="82" t="s">
        <v>40</v>
      </c>
      <c r="J40" s="40"/>
      <c r="K40" s="40">
        <v>21</v>
      </c>
      <c r="L40" s="133"/>
      <c r="M40" s="134"/>
      <c r="N40" s="35">
        <v>1240</v>
      </c>
      <c r="O40" s="9">
        <f>N40 - variables!B$1</f>
        <v>1170</v>
      </c>
      <c r="P40" s="52">
        <v>1460</v>
      </c>
      <c r="Q40" s="138">
        <f>P40 - variables!B$1</f>
        <v>1390</v>
      </c>
      <c r="R40" s="19">
        <v>43762</v>
      </c>
      <c r="S40" s="20">
        <v>3.8194444444444441E-2</v>
      </c>
      <c r="T40" s="19">
        <v>43762</v>
      </c>
      <c r="U40" s="39">
        <v>0.99097222222222225</v>
      </c>
      <c r="V40">
        <v>2</v>
      </c>
      <c r="W40" s="45" t="s">
        <v>40</v>
      </c>
      <c r="X40" s="41"/>
      <c r="Y40" s="41"/>
      <c r="Z40" s="41"/>
      <c r="AA40" s="42"/>
      <c r="AB40" s="99" t="s">
        <v>31</v>
      </c>
      <c r="AI40" s="52"/>
    </row>
    <row r="41" spans="1:35" x14ac:dyDescent="0.2">
      <c r="A41" s="61" t="s">
        <v>163</v>
      </c>
      <c r="B41" s="62" t="s">
        <v>166</v>
      </c>
      <c r="C41">
        <v>1</v>
      </c>
      <c r="D41" s="63" t="s">
        <v>167</v>
      </c>
      <c r="E41" t="s">
        <v>36</v>
      </c>
      <c r="F41" s="45" t="s">
        <v>37</v>
      </c>
      <c r="G41" s="46" t="s">
        <v>40</v>
      </c>
      <c r="H41" s="86" t="s">
        <v>40</v>
      </c>
      <c r="I41" s="82" t="s">
        <v>40</v>
      </c>
      <c r="J41" s="40"/>
      <c r="K41" s="40">
        <v>17</v>
      </c>
      <c r="L41" s="54" t="s">
        <v>40</v>
      </c>
      <c r="M41" s="40" t="s">
        <v>168</v>
      </c>
      <c r="N41" s="35">
        <v>1200</v>
      </c>
      <c r="O41" s="9">
        <f>N41 - variables!B$1</f>
        <v>1130</v>
      </c>
      <c r="P41" s="52">
        <v>1180</v>
      </c>
      <c r="Q41" s="138">
        <f>P41 - variables!B$1</f>
        <v>1110</v>
      </c>
      <c r="R41" s="19">
        <v>43762</v>
      </c>
      <c r="S41" s="20">
        <v>0.99930555555555556</v>
      </c>
      <c r="T41" s="19">
        <v>43764</v>
      </c>
      <c r="U41" s="39">
        <v>4.8611111111111112E-3</v>
      </c>
      <c r="V41">
        <v>2</v>
      </c>
      <c r="W41" s="45" t="s">
        <v>40</v>
      </c>
      <c r="X41" s="41"/>
      <c r="Y41" s="41"/>
      <c r="Z41" s="41"/>
      <c r="AA41" s="42"/>
      <c r="AB41" s="100" t="s">
        <v>31</v>
      </c>
      <c r="AI41" s="52"/>
    </row>
    <row r="42" spans="1:35" x14ac:dyDescent="0.2">
      <c r="A42" s="61" t="s">
        <v>163</v>
      </c>
      <c r="B42" s="62" t="s">
        <v>164</v>
      </c>
      <c r="C42">
        <v>2</v>
      </c>
      <c r="D42" s="63" t="s">
        <v>169</v>
      </c>
      <c r="E42" t="s">
        <v>36</v>
      </c>
      <c r="F42" s="45" t="s">
        <v>38</v>
      </c>
      <c r="G42" s="46" t="s">
        <v>40</v>
      </c>
      <c r="H42" s="86" t="s">
        <v>40</v>
      </c>
      <c r="I42" s="82" t="s">
        <v>40</v>
      </c>
      <c r="J42" s="40"/>
      <c r="K42" s="140">
        <v>18</v>
      </c>
      <c r="L42" s="54" t="s">
        <v>41</v>
      </c>
      <c r="M42" s="40" t="s">
        <v>160</v>
      </c>
      <c r="N42" s="35">
        <v>1260</v>
      </c>
      <c r="O42" s="9">
        <f>N42 - variables!B$1</f>
        <v>1190</v>
      </c>
      <c r="P42" s="52">
        <v>1360</v>
      </c>
      <c r="Q42" s="138">
        <f>P42 - variables!B$1</f>
        <v>1290</v>
      </c>
      <c r="R42" s="19">
        <v>43764</v>
      </c>
      <c r="S42" s="20">
        <v>1.3194444444444444E-2</v>
      </c>
      <c r="T42" s="19">
        <v>43765</v>
      </c>
      <c r="U42" s="39">
        <v>0.97916666666666663</v>
      </c>
      <c r="V42">
        <v>2</v>
      </c>
      <c r="W42" s="45" t="s">
        <v>116</v>
      </c>
      <c r="X42" s="41"/>
      <c r="Y42" s="41"/>
      <c r="Z42" s="41"/>
      <c r="AA42" s="42"/>
      <c r="AB42" s="99" t="s">
        <v>31</v>
      </c>
      <c r="AI42" s="52"/>
    </row>
    <row r="43" spans="1:35" x14ac:dyDescent="0.2">
      <c r="A43" s="61"/>
      <c r="B43" s="62"/>
      <c r="D43" s="63"/>
      <c r="G43" s="46"/>
      <c r="H43" s="86"/>
      <c r="I43" s="82"/>
      <c r="J43" s="54"/>
      <c r="K43" s="40"/>
      <c r="L43" s="54"/>
      <c r="M43" s="40"/>
      <c r="Q43" s="115"/>
      <c r="S43" s="20"/>
      <c r="T43" s="19"/>
      <c r="U43" s="39"/>
      <c r="W43" s="45"/>
      <c r="X43" s="41"/>
      <c r="Y43" s="41"/>
      <c r="Z43" s="41"/>
      <c r="AA43" s="42"/>
      <c r="AB43" s="99" t="s">
        <v>31</v>
      </c>
    </row>
    <row r="44" spans="1:35" x14ac:dyDescent="0.2">
      <c r="A44" s="61"/>
      <c r="B44" s="62"/>
      <c r="D44" s="63"/>
      <c r="G44" s="46"/>
      <c r="H44" s="86"/>
      <c r="I44" s="82"/>
      <c r="J44" s="54"/>
      <c r="K44" s="40"/>
      <c r="L44" s="54"/>
      <c r="M44" s="59"/>
      <c r="Q44" s="115"/>
      <c r="S44" s="20"/>
      <c r="T44" s="19"/>
      <c r="U44" s="39"/>
      <c r="W44" s="45"/>
      <c r="X44" s="41"/>
      <c r="Y44" s="41"/>
      <c r="Z44" s="41"/>
      <c r="AA44" s="42"/>
      <c r="AB44" s="99" t="s">
        <v>31</v>
      </c>
    </row>
    <row r="45" spans="1:35" x14ac:dyDescent="0.2">
      <c r="A45" s="61"/>
      <c r="B45" s="62"/>
      <c r="D45" s="63"/>
      <c r="G45" s="46"/>
      <c r="H45" s="86"/>
      <c r="I45" s="82"/>
      <c r="J45" s="54"/>
      <c r="K45" s="40"/>
      <c r="L45" s="54"/>
      <c r="M45" s="40"/>
      <c r="Q45" s="115"/>
      <c r="S45" s="20"/>
      <c r="T45" s="19"/>
      <c r="U45" s="39"/>
      <c r="W45" s="45"/>
      <c r="X45" s="41"/>
      <c r="Y45" s="41"/>
      <c r="Z45" s="41"/>
      <c r="AA45" s="42"/>
      <c r="AB45" s="99" t="s">
        <v>31</v>
      </c>
    </row>
    <row r="46" spans="1:35" x14ac:dyDescent="0.2">
      <c r="A46" s="61"/>
      <c r="B46" s="62"/>
      <c r="D46" s="63"/>
      <c r="G46" s="46"/>
      <c r="H46" s="86"/>
      <c r="I46" s="82"/>
      <c r="J46" s="125"/>
      <c r="K46" s="40"/>
      <c r="L46" s="54"/>
      <c r="M46" s="40"/>
      <c r="Q46" s="115"/>
      <c r="S46" s="20"/>
      <c r="T46" s="19"/>
      <c r="U46" s="39"/>
      <c r="W46" s="45"/>
      <c r="X46" s="41"/>
      <c r="Y46" s="41"/>
      <c r="Z46" s="41"/>
      <c r="AA46" s="42"/>
      <c r="AB46" s="100" t="s">
        <v>31</v>
      </c>
    </row>
    <row r="47" spans="1:35" x14ac:dyDescent="0.2">
      <c r="A47" s="61"/>
      <c r="B47" s="62"/>
      <c r="D47" s="63"/>
      <c r="G47" s="46"/>
      <c r="H47" s="86"/>
      <c r="I47" s="82"/>
      <c r="J47" s="54"/>
      <c r="K47" s="40"/>
      <c r="L47" s="54"/>
      <c r="M47" s="40"/>
      <c r="Q47" s="115"/>
      <c r="S47" s="20"/>
      <c r="T47" s="19"/>
      <c r="U47" s="39"/>
      <c r="W47" s="45"/>
      <c r="AB47" s="99" t="s">
        <v>31</v>
      </c>
    </row>
    <row r="48" spans="1:35" x14ac:dyDescent="0.2">
      <c r="A48" s="61"/>
      <c r="B48" s="62"/>
      <c r="D48" s="63"/>
      <c r="G48" s="46"/>
      <c r="H48" s="86"/>
      <c r="I48" s="82"/>
      <c r="J48" s="125"/>
      <c r="K48" s="40"/>
      <c r="L48" s="54"/>
      <c r="M48" s="40"/>
      <c r="Q48" s="115"/>
      <c r="S48" s="20"/>
      <c r="T48" s="19"/>
      <c r="U48" s="39"/>
      <c r="W48" s="45"/>
      <c r="AB48" s="99" t="s">
        <v>31</v>
      </c>
    </row>
    <row r="49" spans="1:28" x14ac:dyDescent="0.2">
      <c r="A49" s="61"/>
      <c r="B49" s="62"/>
      <c r="D49" s="63"/>
      <c r="G49" s="46"/>
      <c r="H49" s="86"/>
      <c r="I49" s="82"/>
      <c r="J49" s="54"/>
      <c r="K49" s="40"/>
      <c r="L49" s="54"/>
      <c r="M49" s="40"/>
      <c r="Q49" s="115"/>
      <c r="S49" s="20"/>
      <c r="T49" s="19"/>
      <c r="U49" s="39"/>
      <c r="W49" s="45"/>
      <c r="AB49" s="99" t="s">
        <v>31</v>
      </c>
    </row>
    <row r="50" spans="1:28" x14ac:dyDescent="0.2">
      <c r="A50" s="61"/>
      <c r="B50" s="62"/>
      <c r="D50" s="63"/>
      <c r="G50" s="46"/>
      <c r="H50" s="86"/>
      <c r="I50" s="82"/>
      <c r="J50" s="54"/>
      <c r="K50" s="40"/>
      <c r="L50" s="54"/>
      <c r="M50" s="40"/>
      <c r="Q50" s="115"/>
      <c r="S50" s="20"/>
      <c r="T50" s="19"/>
      <c r="U50" s="39"/>
      <c r="W50" s="45"/>
      <c r="AB50" s="99" t="s">
        <v>31</v>
      </c>
    </row>
    <row r="51" spans="1:28" x14ac:dyDescent="0.2">
      <c r="A51" s="61"/>
      <c r="B51" s="62"/>
      <c r="D51" s="63"/>
      <c r="G51" s="46"/>
      <c r="H51" s="86"/>
      <c r="I51" s="82"/>
      <c r="J51" s="40"/>
      <c r="K51" s="40"/>
      <c r="L51" s="54"/>
      <c r="M51" s="40"/>
      <c r="Q51" s="115"/>
      <c r="S51" s="20"/>
      <c r="T51" s="19"/>
      <c r="U51" s="39"/>
      <c r="W51" s="45"/>
      <c r="AB51" s="99" t="s">
        <v>31</v>
      </c>
    </row>
    <row r="52" spans="1:28" x14ac:dyDescent="0.2">
      <c r="A52" s="61"/>
      <c r="B52" s="62"/>
      <c r="D52" s="63"/>
      <c r="G52" s="46"/>
      <c r="H52" s="86"/>
      <c r="I52" s="82"/>
      <c r="J52" s="40"/>
      <c r="K52" s="40"/>
      <c r="L52" s="54"/>
      <c r="M52" s="40"/>
      <c r="Q52" s="115"/>
      <c r="S52" s="20"/>
      <c r="T52" s="19"/>
      <c r="U52" s="39"/>
      <c r="W52" s="45"/>
      <c r="AB52" s="99" t="s">
        <v>31</v>
      </c>
    </row>
    <row r="53" spans="1:28" x14ac:dyDescent="0.2">
      <c r="A53" s="61"/>
      <c r="B53" s="62"/>
      <c r="D53" s="63"/>
      <c r="G53" s="46"/>
      <c r="H53" s="86"/>
      <c r="I53" s="82"/>
      <c r="J53" s="40"/>
      <c r="K53" s="40"/>
      <c r="L53" s="125"/>
      <c r="M53" s="40"/>
      <c r="P53" s="87"/>
      <c r="Q53" s="115"/>
      <c r="S53" s="20"/>
      <c r="T53" s="19"/>
      <c r="U53" s="39"/>
      <c r="W53" s="45"/>
      <c r="AB53" s="99" t="s">
        <v>31</v>
      </c>
    </row>
    <row r="54" spans="1:28" x14ac:dyDescent="0.2">
      <c r="A54" s="61"/>
      <c r="B54" s="62"/>
      <c r="D54" s="63"/>
      <c r="G54" s="46"/>
      <c r="H54" s="86"/>
      <c r="I54" s="82"/>
      <c r="J54" s="40"/>
      <c r="K54" s="40"/>
      <c r="L54" s="54"/>
      <c r="M54" s="40"/>
      <c r="Q54" s="115"/>
      <c r="S54" s="20"/>
      <c r="T54" s="19"/>
      <c r="U54" s="39"/>
      <c r="W54" s="45"/>
      <c r="AB54" s="99" t="s">
        <v>31</v>
      </c>
    </row>
    <row r="55" spans="1:28" x14ac:dyDescent="0.2">
      <c r="A55" s="61"/>
      <c r="B55" s="62"/>
      <c r="D55" s="63"/>
      <c r="G55" s="46"/>
      <c r="H55" s="86"/>
      <c r="I55" s="82"/>
      <c r="J55" s="40"/>
      <c r="K55" s="40"/>
      <c r="L55" s="54"/>
      <c r="M55" s="40"/>
      <c r="Q55" s="115"/>
      <c r="S55" s="20"/>
      <c r="T55" s="19"/>
      <c r="U55" s="39"/>
      <c r="W55" s="45"/>
      <c r="AB55" s="99" t="s">
        <v>31</v>
      </c>
    </row>
    <row r="56" spans="1:28" x14ac:dyDescent="0.2">
      <c r="A56" s="61"/>
      <c r="B56" s="62"/>
      <c r="D56" s="63"/>
      <c r="G56" s="46"/>
      <c r="H56" s="86"/>
      <c r="I56" s="82"/>
      <c r="J56" s="40"/>
      <c r="K56" s="40"/>
      <c r="L56" s="54"/>
      <c r="M56" s="40"/>
      <c r="Q56" s="115"/>
      <c r="S56" s="20"/>
      <c r="T56" s="19"/>
      <c r="U56" s="39"/>
      <c r="W56" s="45"/>
      <c r="AB56" s="99" t="s">
        <v>31</v>
      </c>
    </row>
    <row r="57" spans="1:28" x14ac:dyDescent="0.2">
      <c r="A57" s="61"/>
      <c r="B57" s="62"/>
      <c r="D57" s="63"/>
      <c r="G57" s="46"/>
      <c r="H57" s="86"/>
      <c r="I57" s="82"/>
      <c r="J57" s="40"/>
      <c r="K57" s="40"/>
      <c r="L57" s="54"/>
      <c r="M57" s="40"/>
      <c r="S57" s="20"/>
      <c r="T57" s="19"/>
      <c r="U57" s="39"/>
      <c r="W57" s="45"/>
      <c r="AB57" s="99" t="s">
        <v>31</v>
      </c>
    </row>
    <row r="58" spans="1:28" x14ac:dyDescent="0.2">
      <c r="A58" s="61"/>
      <c r="B58" s="62"/>
      <c r="D58" s="63"/>
      <c r="G58" s="46"/>
      <c r="H58" s="86"/>
      <c r="I58" s="82"/>
      <c r="J58" s="40"/>
      <c r="K58" s="40"/>
      <c r="L58" s="54"/>
      <c r="M58" s="40"/>
      <c r="S58" s="20"/>
      <c r="T58" s="19"/>
      <c r="U58" s="39"/>
      <c r="W58" s="45"/>
      <c r="AB58" s="99" t="s">
        <v>31</v>
      </c>
    </row>
    <row r="59" spans="1:28" x14ac:dyDescent="0.2">
      <c r="A59" s="61"/>
      <c r="B59" s="62"/>
      <c r="D59" s="63"/>
      <c r="G59" s="46"/>
      <c r="H59" s="86"/>
      <c r="I59" s="82"/>
      <c r="J59" s="125"/>
      <c r="K59" s="40"/>
      <c r="L59" s="125"/>
      <c r="M59" s="40"/>
      <c r="P59" s="87"/>
      <c r="Q59" s="119"/>
      <c r="S59" s="20"/>
      <c r="T59" s="120"/>
      <c r="U59" s="119"/>
      <c r="W59" s="45"/>
      <c r="AB59" s="99" t="s">
        <v>31</v>
      </c>
    </row>
    <row r="60" spans="1:28" x14ac:dyDescent="0.2">
      <c r="A60" s="61"/>
      <c r="B60" s="62"/>
      <c r="D60" s="63"/>
      <c r="G60" s="46"/>
      <c r="H60" s="86"/>
      <c r="I60" s="82"/>
      <c r="J60" s="40"/>
      <c r="K60" s="40"/>
      <c r="L60" s="54"/>
      <c r="M60" s="40"/>
      <c r="S60" s="20"/>
      <c r="T60" s="19"/>
      <c r="U60" s="39"/>
      <c r="W60" s="45"/>
      <c r="AB60" s="99" t="s">
        <v>31</v>
      </c>
    </row>
    <row r="61" spans="1:28" x14ac:dyDescent="0.2">
      <c r="A61" s="61"/>
      <c r="B61" s="62"/>
      <c r="D61" s="63"/>
      <c r="G61" s="46"/>
      <c r="H61" s="86"/>
      <c r="I61" s="82"/>
      <c r="J61" s="40"/>
      <c r="K61" s="40"/>
      <c r="L61" s="54"/>
      <c r="M61" s="40"/>
      <c r="S61" s="20"/>
      <c r="T61" s="19"/>
      <c r="U61" s="39"/>
      <c r="W61" s="45"/>
      <c r="AB61" s="99" t="s">
        <v>31</v>
      </c>
    </row>
    <row r="62" spans="1:28" x14ac:dyDescent="0.2">
      <c r="A62" s="61"/>
      <c r="B62" s="62"/>
      <c r="D62" s="63"/>
      <c r="G62" s="46"/>
      <c r="H62" s="86"/>
      <c r="I62" s="82"/>
      <c r="J62" s="40"/>
      <c r="K62" s="40"/>
      <c r="L62" s="54"/>
      <c r="M62" s="40"/>
      <c r="S62" s="20"/>
      <c r="T62" s="19"/>
      <c r="U62" s="39"/>
      <c r="W62" s="45"/>
      <c r="AB62" s="100" t="s">
        <v>31</v>
      </c>
    </row>
    <row r="63" spans="1:28" x14ac:dyDescent="0.2">
      <c r="A63" s="61"/>
      <c r="B63" s="62"/>
      <c r="D63" s="63"/>
      <c r="G63" s="46"/>
      <c r="H63" s="86"/>
      <c r="I63" s="82"/>
      <c r="J63" s="125"/>
      <c r="K63" s="40"/>
      <c r="L63" s="54"/>
      <c r="M63" s="40"/>
      <c r="S63" s="20"/>
      <c r="T63" s="19"/>
      <c r="U63" s="39"/>
      <c r="W63" s="45"/>
      <c r="AB63" s="100" t="s">
        <v>31</v>
      </c>
    </row>
    <row r="64" spans="1:28" x14ac:dyDescent="0.2">
      <c r="A64" s="61"/>
      <c r="B64" s="62"/>
      <c r="D64" s="63"/>
      <c r="G64" s="46"/>
      <c r="H64" s="86"/>
      <c r="I64" s="82"/>
      <c r="J64" s="40"/>
      <c r="K64" s="40"/>
      <c r="L64" s="54"/>
      <c r="M64" s="40"/>
      <c r="S64" s="20"/>
      <c r="T64" s="19"/>
      <c r="U64" s="39"/>
      <c r="W64" s="45"/>
      <c r="AB64" s="99" t="s">
        <v>31</v>
      </c>
    </row>
    <row r="65" spans="1:28" x14ac:dyDescent="0.2">
      <c r="A65" s="61"/>
      <c r="B65" s="62"/>
      <c r="D65" s="63"/>
      <c r="G65" s="46"/>
      <c r="H65" s="86"/>
      <c r="I65" s="82"/>
      <c r="J65" s="40"/>
      <c r="K65" s="40"/>
      <c r="L65" s="54"/>
      <c r="M65" s="40"/>
      <c r="S65" s="20"/>
      <c r="T65" s="19"/>
      <c r="U65" s="39"/>
      <c r="W65" s="45"/>
      <c r="AB65" s="100" t="s">
        <v>31</v>
      </c>
    </row>
    <row r="66" spans="1:28" x14ac:dyDescent="0.2">
      <c r="A66" s="61"/>
      <c r="B66" s="62"/>
      <c r="D66" s="63"/>
      <c r="G66" s="46"/>
      <c r="H66" s="86"/>
      <c r="I66" s="82"/>
      <c r="J66" s="40"/>
      <c r="K66" s="40"/>
      <c r="L66" s="54"/>
      <c r="M66" s="40"/>
      <c r="S66" s="20"/>
      <c r="T66" s="19"/>
      <c r="U66" s="39"/>
      <c r="W66" s="45"/>
      <c r="AB66" s="100" t="s">
        <v>31</v>
      </c>
    </row>
    <row r="67" spans="1:28" x14ac:dyDescent="0.2">
      <c r="A67" s="61"/>
      <c r="B67" s="62"/>
      <c r="D67" s="63"/>
      <c r="G67" s="46"/>
      <c r="H67" s="86"/>
      <c r="I67" s="82"/>
      <c r="J67" s="40"/>
      <c r="K67" s="40"/>
      <c r="L67" s="54"/>
      <c r="M67" s="40"/>
      <c r="S67" s="20"/>
      <c r="T67" s="19"/>
      <c r="U67" s="39"/>
      <c r="W67" s="45"/>
    </row>
    <row r="68" spans="1:28" x14ac:dyDescent="0.2">
      <c r="A68" s="61"/>
      <c r="B68" s="62"/>
      <c r="D68" s="63"/>
      <c r="G68" s="46"/>
      <c r="H68" s="86"/>
      <c r="I68" s="82"/>
      <c r="J68" s="40"/>
      <c r="K68" s="40"/>
      <c r="L68" s="54"/>
      <c r="M68" s="40"/>
      <c r="S68" s="20"/>
      <c r="T68" s="19"/>
      <c r="U68" s="39"/>
      <c r="W68" s="45"/>
    </row>
    <row r="69" spans="1:28" x14ac:dyDescent="0.2">
      <c r="A69" s="61"/>
      <c r="B69" s="62"/>
      <c r="D69" s="63"/>
      <c r="G69" s="46"/>
      <c r="H69" s="86"/>
      <c r="I69" s="82"/>
      <c r="J69" s="40"/>
      <c r="K69" s="40"/>
      <c r="L69" s="54"/>
      <c r="M69" s="40"/>
      <c r="S69" s="20"/>
      <c r="T69" s="19"/>
      <c r="U69" s="39"/>
      <c r="W69" s="45"/>
    </row>
    <row r="70" spans="1:28" x14ac:dyDescent="0.2">
      <c r="A70" s="61"/>
      <c r="B70" s="62"/>
      <c r="D70" s="63"/>
      <c r="G70" s="46"/>
      <c r="H70" s="86"/>
      <c r="I70" s="82"/>
      <c r="J70" s="40"/>
      <c r="K70" s="40"/>
      <c r="L70" s="54"/>
      <c r="M70" s="40"/>
      <c r="S70" s="20"/>
      <c r="T70" s="19"/>
      <c r="U70" s="39"/>
      <c r="W70" s="45"/>
    </row>
    <row r="71" spans="1:28" x14ac:dyDescent="0.2">
      <c r="A71" s="61"/>
      <c r="B71" s="62"/>
      <c r="D71" s="63"/>
      <c r="G71" s="46"/>
      <c r="H71" s="86"/>
      <c r="I71" s="82"/>
      <c r="J71" s="40"/>
      <c r="K71" s="40"/>
      <c r="L71" s="54"/>
      <c r="M71" s="40"/>
      <c r="S71" s="20"/>
      <c r="T71" s="19"/>
      <c r="U71" s="39"/>
      <c r="W71" s="45"/>
    </row>
    <row r="72" spans="1:28" x14ac:dyDescent="0.2">
      <c r="A72" s="61"/>
      <c r="B72" s="62"/>
      <c r="D72" s="63"/>
      <c r="G72" s="46"/>
      <c r="H72" s="86"/>
      <c r="I72" s="82"/>
      <c r="J72" s="40"/>
      <c r="K72" s="40"/>
      <c r="L72" s="54"/>
      <c r="M72" s="40"/>
      <c r="S72" s="20"/>
      <c r="T72" s="19"/>
      <c r="U72" s="39"/>
      <c r="W72" s="45"/>
    </row>
    <row r="73" spans="1:28" x14ac:dyDescent="0.2">
      <c r="A73" s="61"/>
      <c r="B73" s="62"/>
      <c r="D73" s="63"/>
      <c r="G73" s="46"/>
      <c r="H73" s="86"/>
      <c r="I73" s="82"/>
      <c r="J73" s="40"/>
      <c r="K73" s="40"/>
      <c r="L73" s="54"/>
      <c r="M73" s="40"/>
      <c r="S73" s="20"/>
      <c r="T73" s="19"/>
      <c r="U73" s="39"/>
      <c r="W73" s="45"/>
    </row>
    <row r="74" spans="1:28" x14ac:dyDescent="0.2">
      <c r="A74" s="61"/>
      <c r="B74" s="62"/>
      <c r="D74" s="63"/>
      <c r="G74" s="123"/>
      <c r="H74" s="124"/>
      <c r="I74" s="82"/>
      <c r="J74" s="40"/>
      <c r="K74" s="40"/>
      <c r="L74" s="54"/>
      <c r="M74" s="40"/>
      <c r="S74" s="20"/>
      <c r="T74" s="19"/>
      <c r="U74" s="39"/>
      <c r="W74" s="45"/>
    </row>
    <row r="75" spans="1:28" x14ac:dyDescent="0.2">
      <c r="A75" s="61"/>
      <c r="B75" s="64"/>
      <c r="D75" s="63"/>
      <c r="G75" s="46"/>
      <c r="H75" s="86"/>
      <c r="I75" s="82"/>
      <c r="J75" s="40"/>
      <c r="K75" s="40"/>
      <c r="L75" s="54"/>
      <c r="M75" s="40"/>
      <c r="W75" s="45"/>
    </row>
    <row r="76" spans="1:28" x14ac:dyDescent="0.2">
      <c r="A76" s="61"/>
      <c r="B76" s="64"/>
      <c r="D76" s="63"/>
      <c r="G76" s="46"/>
      <c r="H76" s="86"/>
      <c r="I76" s="82"/>
      <c r="J76" s="40"/>
      <c r="K76" s="40"/>
      <c r="L76" s="54"/>
      <c r="M76" s="40"/>
    </row>
    <row r="77" spans="1:28" x14ac:dyDescent="0.2">
      <c r="A77" s="61"/>
      <c r="B77" s="64"/>
      <c r="D77" s="63"/>
      <c r="G77" s="46"/>
      <c r="H77" s="86"/>
      <c r="I77" s="82"/>
      <c r="K77" s="40"/>
    </row>
    <row r="78" spans="1:28" x14ac:dyDescent="0.2">
      <c r="A78" s="61"/>
      <c r="B78" s="64"/>
      <c r="D78" s="63"/>
      <c r="G78" s="46"/>
      <c r="H78" s="86"/>
      <c r="I78" s="82"/>
      <c r="K78" s="40"/>
    </row>
    <row r="79" spans="1:28" x14ac:dyDescent="0.2">
      <c r="A79" s="61"/>
      <c r="B79" s="64"/>
      <c r="D79" s="63"/>
      <c r="G79" s="46"/>
      <c r="H79" s="86"/>
      <c r="I79" s="82"/>
      <c r="K79" s="40"/>
    </row>
    <row r="80" spans="1:28" x14ac:dyDescent="0.2">
      <c r="A80" s="61"/>
      <c r="B80" s="64"/>
      <c r="D80" s="63"/>
      <c r="G80" s="46"/>
      <c r="H80" s="86"/>
      <c r="I80" s="82"/>
      <c r="K80" s="40"/>
    </row>
    <row r="81" spans="1:11" x14ac:dyDescent="0.2">
      <c r="A81" s="61"/>
      <c r="B81" s="64"/>
      <c r="D81" s="63"/>
      <c r="G81" s="46"/>
      <c r="H81" s="86"/>
      <c r="I81" s="82"/>
      <c r="K81" s="40"/>
    </row>
    <row r="82" spans="1:11" x14ac:dyDescent="0.2">
      <c r="A82" s="61"/>
      <c r="B82" s="64"/>
      <c r="D82" s="63"/>
      <c r="K82" s="40"/>
    </row>
    <row r="83" spans="1:11" x14ac:dyDescent="0.2">
      <c r="A83" s="61"/>
      <c r="B83" s="64"/>
      <c r="D83" s="111"/>
      <c r="K83" s="40"/>
    </row>
    <row r="84" spans="1:11" x14ac:dyDescent="0.2">
      <c r="A84" s="61"/>
      <c r="B84" s="64"/>
      <c r="D84" s="111"/>
      <c r="K84" s="40"/>
    </row>
    <row r="85" spans="1:11" x14ac:dyDescent="0.2">
      <c r="A85" s="61"/>
      <c r="B85" s="64"/>
      <c r="D85" s="111"/>
      <c r="K85" s="40"/>
    </row>
    <row r="86" spans="1:11" x14ac:dyDescent="0.2">
      <c r="A86" s="61"/>
      <c r="B86" s="64"/>
      <c r="D86" s="111"/>
      <c r="K86" s="40"/>
    </row>
    <row r="87" spans="1:11" x14ac:dyDescent="0.2">
      <c r="A87" s="61"/>
      <c r="B87" s="64"/>
      <c r="D87" s="111"/>
      <c r="K87" s="40"/>
    </row>
    <row r="88" spans="1:11" x14ac:dyDescent="0.2">
      <c r="A88" s="61"/>
      <c r="B88" s="64"/>
      <c r="D88" s="111"/>
      <c r="K88" s="40"/>
    </row>
    <row r="89" spans="1:11" x14ac:dyDescent="0.2">
      <c r="A89" s="61"/>
      <c r="B89" s="64"/>
      <c r="D89" s="111"/>
      <c r="K89" s="40"/>
    </row>
    <row r="90" spans="1:11" x14ac:dyDescent="0.2">
      <c r="A90" s="61"/>
      <c r="B90" s="64"/>
      <c r="D90" s="111"/>
      <c r="K90" s="40"/>
    </row>
    <row r="91" spans="1:11" x14ac:dyDescent="0.2">
      <c r="A91" s="61"/>
      <c r="B91" s="64"/>
      <c r="D91" s="111"/>
      <c r="K91" s="40"/>
    </row>
    <row r="92" spans="1:11" x14ac:dyDescent="0.2">
      <c r="A92" s="61"/>
      <c r="B92" s="64"/>
      <c r="D92" s="111"/>
      <c r="K92" s="40"/>
    </row>
    <row r="93" spans="1:11" x14ac:dyDescent="0.2">
      <c r="A93" s="61"/>
      <c r="B93" s="64"/>
      <c r="D93" s="111"/>
      <c r="K93" s="40"/>
    </row>
    <row r="94" spans="1:11" x14ac:dyDescent="0.2">
      <c r="A94" s="61"/>
      <c r="B94" s="64"/>
      <c r="D94" s="111"/>
      <c r="K94" s="40"/>
    </row>
    <row r="95" spans="1:11" x14ac:dyDescent="0.2">
      <c r="A95" s="61"/>
      <c r="B95" s="64"/>
      <c r="D95" s="111"/>
      <c r="K95" s="40"/>
    </row>
    <row r="96" spans="1:11" x14ac:dyDescent="0.2">
      <c r="A96" s="61"/>
      <c r="B96" s="64"/>
      <c r="D96" s="111"/>
      <c r="K96" s="40"/>
    </row>
    <row r="97" spans="1:11" x14ac:dyDescent="0.2">
      <c r="A97" s="61"/>
      <c r="B97" s="64"/>
      <c r="D97" s="111"/>
      <c r="K97" s="40"/>
    </row>
    <row r="98" spans="1:11" x14ac:dyDescent="0.2">
      <c r="A98" s="61"/>
      <c r="B98" s="64"/>
      <c r="D98" s="111"/>
      <c r="K98" s="40"/>
    </row>
    <row r="99" spans="1:11" x14ac:dyDescent="0.2">
      <c r="A99" s="61"/>
      <c r="B99" s="64"/>
      <c r="D99" s="111"/>
      <c r="K99" s="40"/>
    </row>
    <row r="100" spans="1:11" x14ac:dyDescent="0.2">
      <c r="A100" s="61"/>
      <c r="B100" s="64"/>
      <c r="D100" s="111"/>
      <c r="K100" s="40"/>
    </row>
    <row r="101" spans="1:11" x14ac:dyDescent="0.2">
      <c r="A101" s="61"/>
      <c r="B101" s="64"/>
      <c r="D101" s="111"/>
    </row>
  </sheetData>
  <phoneticPr fontId="1" type="noConversion"/>
  <conditionalFormatting sqref="J9:K9 J14 J17 G4:H73 J19:J20 K10:K42">
    <cfRule type="containsText" dxfId="25" priority="9" operator="containsText" text="n">
      <formula>NOT(ISERROR(SEARCH("n",G4)))</formula>
    </cfRule>
    <cfRule type="containsText" dxfId="24" priority="10" operator="containsText" text="y">
      <formula>NOT(ISERROR(SEARCH("y",G4)))</formula>
    </cfRule>
  </conditionalFormatting>
  <conditionalFormatting sqref="W1:W1048576">
    <cfRule type="containsText" dxfId="23" priority="4" operator="containsText" text="x">
      <formula>NOT(ISERROR(SEARCH("x",W1)))</formula>
    </cfRule>
    <cfRule type="containsText" dxfId="22" priority="5" operator="containsText" text="n">
      <formula>NOT(ISERROR(SEARCH("n",W1)))</formula>
    </cfRule>
    <cfRule type="containsText" dxfId="21" priority="6" operator="containsText" text="y">
      <formula>NOT(ISERROR(SEARCH("y",W1)))</formula>
    </cfRule>
  </conditionalFormatting>
  <conditionalFormatting sqref="L1:L1048576">
    <cfRule type="containsText" dxfId="20" priority="2" operator="containsText" text="y">
      <formula>NOT(ISERROR(SEARCH("y",L1)))</formula>
    </cfRule>
    <cfRule type="containsText" dxfId="19" priority="3" operator="containsText" text="n">
      <formula>NOT(ISERROR(SEARCH("n",L1)))</formula>
    </cfRule>
  </conditionalFormatting>
  <conditionalFormatting sqref="I4:I100">
    <cfRule type="containsText" dxfId="18" priority="7" operator="containsText" text="n">
      <formula>NOT(ISERROR(SEARCH("n",I4)))</formula>
    </cfRule>
    <cfRule type="containsText" dxfId="17" priority="8" operator="containsText" text="y">
      <formula>NOT(ISERROR(SEARCH("y",I4)))</formula>
    </cfRule>
  </conditionalFormatting>
  <conditionalFormatting sqref="J4:J89">
    <cfRule type="containsText" dxfId="16" priority="1" operator="containsText" text="*">
      <formula>NOT(ISERROR(SEARCH("*",J4)))</formula>
    </cfRule>
  </conditionalFormatting>
  <pageMargins left="0.7" right="0.7" top="0.75" bottom="0.75" header="0.3" footer="0.3"/>
  <pageSetup paperSize="9" orientation="portrait" horizontalDpi="4294967292" verticalDpi="429496729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4"/>
  <sheetViews>
    <sheetView workbookViewId="0">
      <selection activeCell="D7" sqref="D7"/>
    </sheetView>
  </sheetViews>
  <sheetFormatPr baseColWidth="10" defaultRowHeight="16" x14ac:dyDescent="0.2"/>
  <cols>
    <col min="1" max="1" width="8.6640625" style="70" customWidth="1"/>
    <col min="2" max="2" width="10" style="71" customWidth="1"/>
    <col min="3" max="3" width="8.6640625" style="3" customWidth="1"/>
    <col min="4" max="4" width="11.83203125" style="3" customWidth="1"/>
    <col min="5" max="5" width="10.83203125" style="4"/>
    <col min="6" max="16384" width="10.83203125" style="3"/>
  </cols>
  <sheetData>
    <row r="1" spans="1:5" ht="21" x14ac:dyDescent="0.25">
      <c r="A1" s="65" t="s">
        <v>23</v>
      </c>
      <c r="B1" s="66"/>
      <c r="C1" s="67">
        <f>COUNT(C3:C37)</f>
        <v>4</v>
      </c>
      <c r="D1" s="68"/>
      <c r="E1" s="72"/>
    </row>
    <row r="2" spans="1:5" ht="17" thickBot="1" x14ac:dyDescent="0.25">
      <c r="A2" s="74" t="s">
        <v>24</v>
      </c>
      <c r="B2" s="75" t="s">
        <v>44</v>
      </c>
      <c r="C2" s="76" t="s">
        <v>26</v>
      </c>
      <c r="D2" s="77" t="s">
        <v>39</v>
      </c>
      <c r="E2" s="78" t="s">
        <v>45</v>
      </c>
    </row>
    <row r="3" spans="1:5" x14ac:dyDescent="0.2">
      <c r="A3" s="61" t="s">
        <v>97</v>
      </c>
      <c r="B3" s="3"/>
      <c r="C3" s="40">
        <v>20</v>
      </c>
      <c r="D3" s="53" t="s">
        <v>40</v>
      </c>
      <c r="E3" s="98">
        <v>43753</v>
      </c>
    </row>
    <row r="4" spans="1:5" x14ac:dyDescent="0.2">
      <c r="A4" s="61" t="s">
        <v>136</v>
      </c>
      <c r="B4" s="3"/>
      <c r="C4" s="40">
        <v>18</v>
      </c>
      <c r="D4" s="53" t="s">
        <v>40</v>
      </c>
      <c r="E4" s="73">
        <v>43753</v>
      </c>
    </row>
    <row r="5" spans="1:5" x14ac:dyDescent="0.2">
      <c r="A5" s="61" t="s">
        <v>88</v>
      </c>
      <c r="B5" s="60"/>
      <c r="C5" s="40">
        <v>16</v>
      </c>
      <c r="D5" s="53" t="s">
        <v>40</v>
      </c>
      <c r="E5" s="73">
        <v>43753</v>
      </c>
    </row>
    <row r="6" spans="1:5" x14ac:dyDescent="0.2">
      <c r="A6" s="61" t="s">
        <v>140</v>
      </c>
      <c r="B6" s="3"/>
      <c r="C6" s="40">
        <v>17</v>
      </c>
      <c r="D6" s="53" t="s">
        <v>40</v>
      </c>
      <c r="E6" s="73">
        <v>43753</v>
      </c>
    </row>
    <row r="7" spans="1:5" x14ac:dyDescent="0.2">
      <c r="A7" s="61"/>
      <c r="B7" s="59"/>
      <c r="C7" s="40"/>
      <c r="D7" s="53"/>
      <c r="E7" s="73"/>
    </row>
    <row r="8" spans="1:5" x14ac:dyDescent="0.2">
      <c r="A8" s="61"/>
      <c r="B8" s="59"/>
      <c r="C8" s="40"/>
      <c r="D8" s="53"/>
      <c r="E8" s="73"/>
    </row>
    <row r="9" spans="1:5" x14ac:dyDescent="0.2">
      <c r="A9" s="69"/>
      <c r="B9" s="59"/>
      <c r="C9" s="40"/>
      <c r="D9" s="53"/>
      <c r="E9" s="73"/>
    </row>
    <row r="10" spans="1:5" x14ac:dyDescent="0.2">
      <c r="D10" s="53"/>
    </row>
    <row r="11" spans="1:5" x14ac:dyDescent="0.2">
      <c r="D11" s="53"/>
    </row>
    <row r="12" spans="1:5" x14ac:dyDescent="0.2">
      <c r="D12" s="53"/>
    </row>
    <row r="13" spans="1:5" x14ac:dyDescent="0.2">
      <c r="D13" s="53"/>
    </row>
    <row r="14" spans="1:5" x14ac:dyDescent="0.2">
      <c r="D14" s="53"/>
    </row>
    <row r="15" spans="1:5" x14ac:dyDescent="0.2">
      <c r="D15" s="53"/>
    </row>
    <row r="16" spans="1:5" x14ac:dyDescent="0.2">
      <c r="D16" s="53"/>
    </row>
    <row r="17" spans="4:4" x14ac:dyDescent="0.2">
      <c r="D17" s="53"/>
    </row>
    <row r="18" spans="4:4" x14ac:dyDescent="0.2">
      <c r="D18" s="53"/>
    </row>
    <row r="19" spans="4:4" x14ac:dyDescent="0.2">
      <c r="D19" s="53"/>
    </row>
    <row r="20" spans="4:4" x14ac:dyDescent="0.2">
      <c r="D20" s="53"/>
    </row>
    <row r="21" spans="4:4" x14ac:dyDescent="0.2">
      <c r="D21" s="53"/>
    </row>
    <row r="22" spans="4:4" x14ac:dyDescent="0.2">
      <c r="D22" s="53"/>
    </row>
    <row r="23" spans="4:4" x14ac:dyDescent="0.2">
      <c r="D23" s="53"/>
    </row>
    <row r="24" spans="4:4" x14ac:dyDescent="0.2">
      <c r="D24" s="53"/>
    </row>
    <row r="25" spans="4:4" x14ac:dyDescent="0.2">
      <c r="D25" s="53"/>
    </row>
    <row r="26" spans="4:4" x14ac:dyDescent="0.2">
      <c r="D26" s="53"/>
    </row>
    <row r="27" spans="4:4" x14ac:dyDescent="0.2">
      <c r="D27" s="53"/>
    </row>
    <row r="28" spans="4:4" x14ac:dyDescent="0.2">
      <c r="D28" s="53"/>
    </row>
    <row r="29" spans="4:4" x14ac:dyDescent="0.2">
      <c r="D29" s="53"/>
    </row>
    <row r="30" spans="4:4" x14ac:dyDescent="0.2">
      <c r="D30" s="53"/>
    </row>
    <row r="31" spans="4:4" x14ac:dyDescent="0.2">
      <c r="D31" s="53"/>
    </row>
    <row r="32" spans="4:4" x14ac:dyDescent="0.2">
      <c r="D32" s="53"/>
    </row>
    <row r="33" spans="4:4" x14ac:dyDescent="0.2">
      <c r="D33" s="53"/>
    </row>
    <row r="34" spans="4:4" x14ac:dyDescent="0.2">
      <c r="D34" s="53"/>
    </row>
  </sheetData>
  <conditionalFormatting sqref="D5:D27">
    <cfRule type="containsText" dxfId="15" priority="15" operator="containsText" text="n">
      <formula>NOT(ISERROR(SEARCH("n",D5)))</formula>
    </cfRule>
    <cfRule type="containsText" dxfId="14" priority="16" operator="containsText" text="y">
      <formula>NOT(ISERROR(SEARCH("y",D5)))</formula>
    </cfRule>
  </conditionalFormatting>
  <conditionalFormatting sqref="D4">
    <cfRule type="containsText" dxfId="13" priority="13" operator="containsText" text="n">
      <formula>NOT(ISERROR(SEARCH("n",D4)))</formula>
    </cfRule>
    <cfRule type="containsText" dxfId="12" priority="14" operator="containsText" text="y">
      <formula>NOT(ISERROR(SEARCH("y",D4)))</formula>
    </cfRule>
  </conditionalFormatting>
  <conditionalFormatting sqref="D3">
    <cfRule type="containsText" dxfId="11" priority="7" operator="containsText" text="n">
      <formula>NOT(ISERROR(SEARCH("n",D3)))</formula>
    </cfRule>
    <cfRule type="containsText" dxfId="10" priority="8" operator="containsText" text="y">
      <formula>NOT(ISERROR(SEARCH("y",D3)))</formula>
    </cfRule>
  </conditionalFormatting>
  <conditionalFormatting sqref="D5">
    <cfRule type="containsText" dxfId="9" priority="5" operator="containsText" text="n">
      <formula>NOT(ISERROR(SEARCH("n",D5)))</formula>
    </cfRule>
    <cfRule type="containsText" dxfId="8" priority="6" operator="containsText" text="y">
      <formula>NOT(ISERROR(SEARCH("y",D5)))</formula>
    </cfRule>
  </conditionalFormatting>
  <conditionalFormatting sqref="D4">
    <cfRule type="containsText" dxfId="7" priority="3" operator="containsText" text="n">
      <formula>NOT(ISERROR(SEARCH("n",D4)))</formula>
    </cfRule>
    <cfRule type="containsText" dxfId="6" priority="4" operator="containsText" text="y">
      <formula>NOT(ISERROR(SEARCH("y",D4)))</formula>
    </cfRule>
  </conditionalFormatting>
  <conditionalFormatting sqref="C3:C6">
    <cfRule type="containsText" dxfId="5" priority="1" operator="containsText" text="n">
      <formula>NOT(ISERROR(SEARCH("n",C3)))</formula>
    </cfRule>
    <cfRule type="containsText" dxfId="4" priority="2" operator="containsText" text="y">
      <formula>NOT(ISERROR(SEARCH("y",C3)))</formula>
    </cfRule>
  </conditionalFormatting>
  <pageMargins left="0.7" right="0.7" top="0.75" bottom="0.75" header="0.3" footer="0.3"/>
  <pageSetup paperSize="9" orientation="portrait" horizontalDpi="4294967292" verticalDpi="4294967292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3"/>
  <sheetViews>
    <sheetView workbookViewId="0">
      <selection activeCell="E24" sqref="E24"/>
    </sheetView>
  </sheetViews>
  <sheetFormatPr baseColWidth="10" defaultRowHeight="16" x14ac:dyDescent="0.2"/>
  <cols>
    <col min="2" max="2" width="15.33203125" style="90" customWidth="1"/>
    <col min="3" max="3" width="32.6640625" customWidth="1"/>
    <col min="7" max="7" width="15.6640625" customWidth="1"/>
    <col min="8" max="8" width="19" customWidth="1"/>
    <col min="9" max="9" width="31.5" customWidth="1"/>
  </cols>
  <sheetData>
    <row r="1" spans="1:9" ht="19" x14ac:dyDescent="0.25">
      <c r="A1" s="131" t="s">
        <v>122</v>
      </c>
      <c r="B1" s="95"/>
      <c r="C1" s="94"/>
      <c r="D1" s="91"/>
      <c r="F1" s="131" t="s">
        <v>51</v>
      </c>
      <c r="G1" s="95"/>
      <c r="H1" s="94"/>
      <c r="I1" s="91"/>
    </row>
    <row r="2" spans="1:9" x14ac:dyDescent="0.2">
      <c r="A2" s="92" t="s">
        <v>52</v>
      </c>
      <c r="B2" s="93" t="s">
        <v>53</v>
      </c>
      <c r="C2" s="92" t="s">
        <v>54</v>
      </c>
      <c r="D2" s="91" t="s">
        <v>55</v>
      </c>
      <c r="F2" s="92" t="s">
        <v>52</v>
      </c>
      <c r="G2" s="93" t="s">
        <v>53</v>
      </c>
      <c r="H2" s="92" t="s">
        <v>54</v>
      </c>
      <c r="I2" s="91" t="s">
        <v>55</v>
      </c>
    </row>
    <row r="3" spans="1:9" x14ac:dyDescent="0.2">
      <c r="A3">
        <v>23</v>
      </c>
      <c r="B3" s="90" t="s">
        <v>41</v>
      </c>
      <c r="C3" t="s">
        <v>123</v>
      </c>
      <c r="D3" t="s">
        <v>115</v>
      </c>
    </row>
  </sheetData>
  <conditionalFormatting sqref="B1:B1048576">
    <cfRule type="containsText" dxfId="3" priority="3" operator="containsText" text="y">
      <formula>NOT(ISERROR(SEARCH("y",B1)))</formula>
    </cfRule>
    <cfRule type="containsText" dxfId="2" priority="4" operator="containsText" text="n">
      <formula>NOT(ISERROR(SEARCH("n",B1)))</formula>
    </cfRule>
  </conditionalFormatting>
  <conditionalFormatting sqref="G1:G2">
    <cfRule type="containsText" dxfId="1" priority="1" operator="containsText" text="y">
      <formula>NOT(ISERROR(SEARCH("y",G1)))</formula>
    </cfRule>
    <cfRule type="containsText" dxfId="0" priority="2" operator="containsText" text="n">
      <formula>NOT(ISERROR(SEARCH("n",G1)))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6B6C4E-9491-A34D-BF64-C7FCB808E411}">
  <dimension ref="A1:B5"/>
  <sheetViews>
    <sheetView workbookViewId="0">
      <selection activeCell="A6" sqref="A6"/>
    </sheetView>
  </sheetViews>
  <sheetFormatPr baseColWidth="10" defaultRowHeight="16" x14ac:dyDescent="0.2"/>
  <sheetData>
    <row r="1" spans="1:2" x14ac:dyDescent="0.2">
      <c r="A1" t="s">
        <v>152</v>
      </c>
      <c r="B1" t="s">
        <v>153</v>
      </c>
    </row>
    <row r="2" spans="1:2" x14ac:dyDescent="0.2">
      <c r="A2" t="s">
        <v>108</v>
      </c>
      <c r="B2" t="s">
        <v>154</v>
      </c>
    </row>
    <row r="3" spans="1:2" x14ac:dyDescent="0.2">
      <c r="A3" t="s">
        <v>137</v>
      </c>
      <c r="B3" t="s">
        <v>155</v>
      </c>
    </row>
    <row r="4" spans="1:2" x14ac:dyDescent="0.2">
      <c r="A4" t="s">
        <v>143</v>
      </c>
      <c r="B4" t="s">
        <v>156</v>
      </c>
    </row>
    <row r="5" spans="1:2" x14ac:dyDescent="0.2">
      <c r="A5" t="s">
        <v>89</v>
      </c>
      <c r="B5" t="s">
        <v>157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BB106-F015-5C46-8F84-7F1691435D60}">
  <dimension ref="A1:B1"/>
  <sheetViews>
    <sheetView workbookViewId="0">
      <selection activeCell="B1" sqref="B1"/>
    </sheetView>
  </sheetViews>
  <sheetFormatPr baseColWidth="10" defaultRowHeight="16" x14ac:dyDescent="0.2"/>
  <cols>
    <col min="1" max="1" width="15.5" customWidth="1"/>
  </cols>
  <sheetData>
    <row r="1" spans="1:2" x14ac:dyDescent="0.2">
      <c r="A1" t="s">
        <v>170</v>
      </c>
      <c r="B1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Penguin Data</vt:lpstr>
      <vt:lpstr>Tags Out</vt:lpstr>
      <vt:lpstr>Instrument Errors</vt:lpstr>
      <vt:lpstr>Nicknames</vt:lpstr>
      <vt:lpstr>variables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Lachlan Phillips (HDR)</cp:lastModifiedBy>
  <dcterms:created xsi:type="dcterms:W3CDTF">2017-10-03T23:10:12Z</dcterms:created>
  <dcterms:modified xsi:type="dcterms:W3CDTF">2019-11-13T06:01:18Z</dcterms:modified>
</cp:coreProperties>
</file>